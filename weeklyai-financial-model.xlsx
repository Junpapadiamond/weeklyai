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Assumptions" sheetId="2" state="visible" r:id="rId4"/>
    <sheet name="Monthly Model" sheetId="3" state="visible" r:id="rId5"/>
    <sheet name="Scenario Comparison" sheetId="4" state="visible" r:id="rId6"/>
    <sheet name="Char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<sst xmlns="http://schemas.openxmlformats.org/spreadsheetml/2006/main" count="284" uniqueCount="214">
  <si>
    <r>
      <rPr>
        <b val="true"/>
        <sz val="18"/>
        <color rgb="FFFFFFFF"/>
        <rFont val="Arial"/>
        <family val="0"/>
        <charset val="1"/>
      </rPr>
      <t xml:space="preserve">  WeeklyAI · </t>
    </r>
    <r>
      <rPr>
        <b val="true"/>
        <sz val="18"/>
        <color rgb="FFFFFFFF"/>
        <rFont val="DejaVu Sans"/>
        <family val="2"/>
      </rPr>
      <t xml:space="preserve">收益预测仪表盘</t>
    </r>
  </si>
  <si>
    <r>
      <rPr>
        <i val="true"/>
        <sz val="10"/>
        <color rgb="FFAAAAAA"/>
        <rFont val="Arial"/>
        <family val="0"/>
        <charset val="1"/>
      </rPr>
      <t xml:space="preserve">  Base Case · 24</t>
    </r>
    <r>
      <rPr>
        <i val="true"/>
        <sz val="10"/>
        <color rgb="FFAAAAAA"/>
        <rFont val="DejaVu Sans"/>
        <family val="2"/>
      </rPr>
      <t xml:space="preserve">个月预测  </t>
    </r>
    <r>
      <rPr>
        <i val="true"/>
        <sz val="10"/>
        <color rgb="FFAAAAAA"/>
        <rFont val="Arial"/>
        <family val="0"/>
        <charset val="1"/>
      </rPr>
      <t xml:space="preserve">|  </t>
    </r>
    <r>
      <rPr>
        <i val="true"/>
        <sz val="10"/>
        <color rgb="FFAAAAAA"/>
        <rFont val="DejaVu Sans"/>
        <family val="2"/>
      </rPr>
      <t xml:space="preserve">修改 </t>
    </r>
    <r>
      <rPr>
        <i val="true"/>
        <sz val="10"/>
        <color rgb="FFAAAAAA"/>
        <rFont val="Arial"/>
        <family val="0"/>
        <charset val="1"/>
      </rPr>
      <t xml:space="preserve">Assumptions sheet </t>
    </r>
    <r>
      <rPr>
        <i val="true"/>
        <sz val="10"/>
        <color rgb="FFAAAAAA"/>
        <rFont val="DejaVu Sans"/>
        <family val="2"/>
      </rPr>
      <t xml:space="preserve">调整参数</t>
    </r>
  </si>
  <si>
    <r>
      <rPr>
        <b val="true"/>
        <sz val="11"/>
        <color rgb="FFFFFFFF"/>
        <rFont val="DejaVu Sans"/>
        <family val="2"/>
      </rPr>
      <t xml:space="preserve">  关键里程碑指标 </t>
    </r>
    <r>
      <rPr>
        <b val="true"/>
        <sz val="11"/>
        <color rgb="FFFFFFFF"/>
        <rFont val="Arial"/>
        <family val="0"/>
        <charset val="1"/>
      </rPr>
      <t xml:space="preserve">(Base Case)</t>
    </r>
  </si>
  <si>
    <t xml:space="preserve">M6 MRR</t>
  </si>
  <si>
    <t xml:space="preserve">M12 MRR</t>
  </si>
  <si>
    <t xml:space="preserve">M24 MRR</t>
  </si>
  <si>
    <r>
      <rPr>
        <sz val="9"/>
        <color rgb="FF555555"/>
        <rFont val="Arial"/>
        <family val="0"/>
        <charset val="1"/>
      </rPr>
      <t xml:space="preserve">M6 </t>
    </r>
    <r>
      <rPr>
        <sz val="9"/>
        <color rgb="FF555555"/>
        <rFont val="DejaVu Sans"/>
        <family val="2"/>
      </rPr>
      <t xml:space="preserve">订阅人数</t>
    </r>
  </si>
  <si>
    <r>
      <rPr>
        <sz val="9"/>
        <color rgb="FF555555"/>
        <rFont val="Arial"/>
        <family val="0"/>
        <charset val="1"/>
      </rPr>
      <t xml:space="preserve">M12 </t>
    </r>
    <r>
      <rPr>
        <sz val="9"/>
        <color rgb="FF555555"/>
        <rFont val="DejaVu Sans"/>
        <family val="2"/>
      </rPr>
      <t xml:space="preserve">订阅人数</t>
    </r>
  </si>
  <si>
    <r>
      <rPr>
        <b val="true"/>
        <sz val="11"/>
        <color rgb="FFFFFFFF"/>
        <rFont val="DejaVu Sans"/>
        <family val="2"/>
      </rPr>
      <t xml:space="preserve">  投入成本摘要 </t>
    </r>
    <r>
      <rPr>
        <b val="true"/>
        <sz val="11"/>
        <color rgb="FFFFFFFF"/>
        <rFont val="Arial"/>
        <family val="0"/>
        <charset val="1"/>
      </rPr>
      <t xml:space="preserve">(Cost Summary)</t>
    </r>
  </si>
  <si>
    <t xml:space="preserve">总开发工时</t>
  </si>
  <si>
    <t xml:space="preserve">hours</t>
  </si>
  <si>
    <r>
      <rPr>
        <sz val="10"/>
        <color rgb="FF333333"/>
        <rFont val="DejaVu Sans"/>
        <family val="2"/>
      </rPr>
      <t xml:space="preserve">开发现金成本</t>
    </r>
    <r>
      <rPr>
        <sz val="10"/>
        <color rgb="FF333333"/>
        <rFont val="Arial"/>
        <family val="0"/>
        <charset val="1"/>
      </rPr>
      <t xml:space="preserve">(</t>
    </r>
    <r>
      <rPr>
        <sz val="10"/>
        <color rgb="FF333333"/>
        <rFont val="DejaVu Sans"/>
        <family val="2"/>
      </rPr>
      <t xml:space="preserve">时薪</t>
    </r>
    <r>
      <rPr>
        <sz val="10"/>
        <color rgb="FF333333"/>
        <rFont val="Arial"/>
        <family val="0"/>
        <charset val="1"/>
      </rPr>
      <t xml:space="preserve">×</t>
    </r>
    <r>
      <rPr>
        <sz val="10"/>
        <color rgb="FF333333"/>
        <rFont val="DejaVu Sans"/>
        <family val="2"/>
      </rPr>
      <t xml:space="preserve">工时</t>
    </r>
    <r>
      <rPr>
        <sz val="10"/>
        <color rgb="FF333333"/>
        <rFont val="Arial"/>
        <family val="0"/>
        <charset val="1"/>
      </rPr>
      <t xml:space="preserve">)</t>
    </r>
  </si>
  <si>
    <t xml:space="preserve">one-time</t>
  </si>
  <si>
    <t xml:space="preserve">月度基础设施成本</t>
  </si>
  <si>
    <r>
      <rPr>
        <i val="true"/>
        <sz val="9"/>
        <color rgb="FF888888"/>
        <rFont val="Arial"/>
        <family val="0"/>
        <charset val="1"/>
      </rPr>
      <t xml:space="preserve">/</t>
    </r>
    <r>
      <rPr>
        <i val="true"/>
        <sz val="9"/>
        <color rgb="FF888888"/>
        <rFont val="DejaVu Sans"/>
        <family val="2"/>
      </rPr>
      <t xml:space="preserve">月</t>
    </r>
  </si>
  <si>
    <r>
      <rPr>
        <sz val="10"/>
        <color rgb="FF333333"/>
        <rFont val="Arial"/>
        <family val="0"/>
        <charset val="1"/>
      </rPr>
      <t xml:space="preserve">Year1 </t>
    </r>
    <r>
      <rPr>
        <sz val="10"/>
        <color rgb="FF333333"/>
        <rFont val="DejaVu Sans"/>
        <family val="2"/>
      </rPr>
      <t xml:space="preserve">总基础设施</t>
    </r>
  </si>
  <si>
    <t xml:space="preserve">Year1</t>
  </si>
  <si>
    <t xml:space="preserve">首年总现金投入</t>
  </si>
  <si>
    <r>
      <rPr>
        <b val="true"/>
        <sz val="11"/>
        <color rgb="FFFFFFFF"/>
        <rFont val="DejaVu Sans"/>
        <family val="2"/>
      </rPr>
      <t xml:space="preserve">  盈亏平衡预测 </t>
    </r>
    <r>
      <rPr>
        <b val="true"/>
        <sz val="11"/>
        <color rgb="FFFFFFFF"/>
        <rFont val="Arial"/>
        <family val="0"/>
        <charset val="1"/>
      </rPr>
      <t xml:space="preserve">(Break-even)</t>
    </r>
  </si>
  <si>
    <t xml:space="preserve">运营盈亏平衡</t>
  </si>
  <si>
    <t xml:space="preserve">Month 7</t>
  </si>
  <si>
    <r>
      <rPr>
        <i val="true"/>
        <sz val="9"/>
        <color rgb="FF888888"/>
        <rFont val="DejaVu Sans"/>
        <family val="2"/>
      </rPr>
      <t xml:space="preserve">月度</t>
    </r>
    <r>
      <rPr>
        <i val="true"/>
        <sz val="9"/>
        <color rgb="FF888888"/>
        <rFont val="Arial"/>
        <family val="0"/>
        <charset val="1"/>
      </rPr>
      <t xml:space="preserve">MRR</t>
    </r>
    <r>
      <rPr>
        <i val="true"/>
        <sz val="9"/>
        <color rgb="FF888888"/>
        <rFont val="DejaVu Sans"/>
        <family val="2"/>
      </rPr>
      <t xml:space="preserve">覆盖基础设施成本</t>
    </r>
  </si>
  <si>
    <t xml:space="preserve">完全盈亏平衡</t>
  </si>
  <si>
    <t xml:space="preserve">Month 14</t>
  </si>
  <si>
    <r>
      <rPr>
        <i val="true"/>
        <sz val="9"/>
        <color rgb="FF888888"/>
        <rFont val="DejaVu Sans"/>
        <family val="2"/>
      </rPr>
      <t xml:space="preserve">累计</t>
    </r>
    <r>
      <rPr>
        <i val="true"/>
        <sz val="9"/>
        <color rgb="FF888888"/>
        <rFont val="Arial"/>
        <family val="0"/>
        <charset val="1"/>
      </rPr>
      <t xml:space="preserve">P&amp;L</t>
    </r>
    <r>
      <rPr>
        <i val="true"/>
        <sz val="9"/>
        <color rgb="FF888888"/>
        <rFont val="DejaVu Sans"/>
        <family val="2"/>
      </rPr>
      <t xml:space="preserve">转正（</t>
    </r>
    <r>
      <rPr>
        <i val="true"/>
        <sz val="9"/>
        <color rgb="FF888888"/>
        <rFont val="Arial"/>
        <family val="0"/>
        <charset val="1"/>
      </rPr>
      <t xml:space="preserve">Base Case</t>
    </r>
    <r>
      <rPr>
        <i val="true"/>
        <sz val="9"/>
        <color rgb="FF888888"/>
        <rFont val="DejaVu Sans"/>
        <family val="2"/>
      </rPr>
      <t xml:space="preserve">，含开发成本）</t>
    </r>
  </si>
  <si>
    <r>
      <rPr>
        <sz val="10"/>
        <color rgb="FF333333"/>
        <rFont val="Arial"/>
        <family val="0"/>
        <charset val="1"/>
      </rPr>
      <t xml:space="preserve">Solo Founder</t>
    </r>
    <r>
      <rPr>
        <sz val="10"/>
        <color rgb="FF333333"/>
        <rFont val="DejaVu Sans"/>
        <family val="2"/>
      </rPr>
      <t xml:space="preserve">完全盈亏</t>
    </r>
  </si>
  <si>
    <t xml:space="preserve">Month 8</t>
  </si>
  <si>
    <r>
      <rPr>
        <i val="true"/>
        <sz val="9"/>
        <color rgb="FF888888"/>
        <rFont val="DejaVu Sans"/>
        <family val="2"/>
      </rPr>
      <t xml:space="preserve">开发成本</t>
    </r>
    <r>
      <rPr>
        <i val="true"/>
        <sz val="9"/>
        <color rgb="FF888888"/>
        <rFont val="Arial"/>
        <family val="0"/>
        <charset val="1"/>
      </rPr>
      <t xml:space="preserve">=$0</t>
    </r>
    <r>
      <rPr>
        <i val="true"/>
        <sz val="9"/>
        <color rgb="FF888888"/>
        <rFont val="DejaVu Sans"/>
        <family val="2"/>
      </rPr>
      <t xml:space="preserve">，只看现金</t>
    </r>
  </si>
  <si>
    <r>
      <rPr>
        <sz val="10"/>
        <color rgb="FF333333"/>
        <rFont val="Arial"/>
        <family val="0"/>
        <charset val="1"/>
      </rPr>
      <t xml:space="preserve">Year 2 ARR</t>
    </r>
    <r>
      <rPr>
        <sz val="10"/>
        <color rgb="FF333333"/>
        <rFont val="DejaVu Sans"/>
        <family val="2"/>
      </rPr>
      <t xml:space="preserve">目标</t>
    </r>
  </si>
  <si>
    <t xml:space="preserve">$45,000-$60,000</t>
  </si>
  <si>
    <r>
      <rPr>
        <i val="true"/>
        <sz val="9"/>
        <color rgb="FF888888"/>
        <rFont val="Arial"/>
        <family val="0"/>
        <charset val="1"/>
      </rPr>
      <t xml:space="preserve">Base Case</t>
    </r>
    <r>
      <rPr>
        <i val="true"/>
        <sz val="9"/>
        <color rgb="FF888888"/>
        <rFont val="DejaVu Sans"/>
        <family val="2"/>
      </rPr>
      <t xml:space="preserve">年化收入</t>
    </r>
  </si>
  <si>
    <r>
      <rPr>
        <b val="true"/>
        <sz val="11"/>
        <color rgb="FFFFFFFF"/>
        <rFont val="DejaVu Sans"/>
        <family val="2"/>
      </rPr>
      <t xml:space="preserve">  收入结构演变 </t>
    </r>
    <r>
      <rPr>
        <b val="true"/>
        <sz val="11"/>
        <color rgb="FFFFFFFF"/>
        <rFont val="Arial"/>
        <family val="0"/>
        <charset val="1"/>
      </rPr>
      <t xml:space="preserve">(Revenue Mix Evolution)</t>
    </r>
  </si>
  <si>
    <t xml:space="preserve">Month 1-3</t>
  </si>
  <si>
    <r>
      <rPr>
        <sz val="10"/>
        <color rgb="FF333333"/>
        <rFont val="Arial"/>
        <family val="0"/>
        <charset val="1"/>
      </rPr>
      <t xml:space="preserve">100% </t>
    </r>
    <r>
      <rPr>
        <sz val="10"/>
        <color rgb="FF333333"/>
        <rFont val="DejaVu Sans"/>
        <family val="2"/>
      </rPr>
      <t xml:space="preserve">免费</t>
    </r>
  </si>
  <si>
    <t xml:space="preserve">无收入，积累订阅基础</t>
  </si>
  <si>
    <t xml:space="preserve">Month 4-6</t>
  </si>
  <si>
    <r>
      <rPr>
        <sz val="10"/>
        <color rgb="FF333333"/>
        <rFont val="Arial"/>
        <family val="0"/>
        <charset val="1"/>
      </rPr>
      <t xml:space="preserve">Newsletter</t>
    </r>
    <r>
      <rPr>
        <sz val="10"/>
        <color rgb="FF333333"/>
        <rFont val="DejaVu Sans"/>
        <family val="2"/>
      </rPr>
      <t xml:space="preserve">付费为主</t>
    </r>
  </si>
  <si>
    <r>
      <rPr>
        <i val="true"/>
        <sz val="9"/>
        <color rgb="FF888888"/>
        <rFont val="DejaVu Sans"/>
        <family val="2"/>
      </rPr>
      <t xml:space="preserve">预计</t>
    </r>
    <r>
      <rPr>
        <i val="true"/>
        <sz val="9"/>
        <color rgb="FF888888"/>
        <rFont val="Arial"/>
        <family val="0"/>
        <charset val="1"/>
      </rPr>
      <t xml:space="preserve">MRR $100-$300</t>
    </r>
  </si>
  <si>
    <t xml:space="preserve">Month 7-12</t>
  </si>
  <si>
    <r>
      <rPr>
        <sz val="10"/>
        <color rgb="FF333333"/>
        <rFont val="Arial"/>
        <family val="0"/>
        <charset val="1"/>
      </rPr>
      <t xml:space="preserve">Pro</t>
    </r>
    <r>
      <rPr>
        <sz val="10"/>
        <color rgb="FF333333"/>
        <rFont val="DejaVu Sans"/>
        <family val="2"/>
      </rPr>
      <t xml:space="preserve">订阅开始贡献</t>
    </r>
  </si>
  <si>
    <r>
      <rPr>
        <i val="true"/>
        <sz val="9"/>
        <color rgb="FF888888"/>
        <rFont val="DejaVu Sans"/>
        <family val="2"/>
      </rPr>
      <t xml:space="preserve">预计</t>
    </r>
    <r>
      <rPr>
        <i val="true"/>
        <sz val="9"/>
        <color rgb="FF888888"/>
        <rFont val="Arial"/>
        <family val="0"/>
        <charset val="1"/>
      </rPr>
      <t xml:space="preserve">MRR $800-$2,500</t>
    </r>
  </si>
  <si>
    <t xml:space="preserve">Month 13-24</t>
  </si>
  <si>
    <r>
      <rPr>
        <sz val="10"/>
        <color rgb="FF333333"/>
        <rFont val="Arial"/>
        <family val="0"/>
        <charset val="1"/>
      </rPr>
      <t xml:space="preserve">Enterprise+</t>
    </r>
    <r>
      <rPr>
        <sz val="10"/>
        <color rgb="FF333333"/>
        <rFont val="DejaVu Sans"/>
        <family val="2"/>
      </rPr>
      <t xml:space="preserve">数据报告加入</t>
    </r>
  </si>
  <si>
    <r>
      <rPr>
        <i val="true"/>
        <sz val="9"/>
        <color rgb="FF888888"/>
        <rFont val="DejaVu Sans"/>
        <family val="2"/>
      </rPr>
      <t xml:space="preserve">预计</t>
    </r>
    <r>
      <rPr>
        <i val="true"/>
        <sz val="9"/>
        <color rgb="FF888888"/>
        <rFont val="Arial"/>
        <family val="0"/>
        <charset val="1"/>
      </rPr>
      <t xml:space="preserve">MRR $3,500-$6,500+</t>
    </r>
  </si>
  <si>
    <t xml:space="preserve">WeeklyAI — Financial Model Assumptions</t>
  </si>
  <si>
    <t xml:space="preserve">Blue = hardcoded input  |  Change to model your own scenario</t>
  </si>
  <si>
    <r>
      <rPr>
        <b val="true"/>
        <sz val="11"/>
        <color rgb="FFFFFFFF"/>
        <rFont val="Arial"/>
        <family val="0"/>
        <charset val="1"/>
      </rPr>
      <t xml:space="preserve">A  </t>
    </r>
    <r>
      <rPr>
        <b val="true"/>
        <sz val="11"/>
        <color rgb="FFFFFFFF"/>
        <rFont val="DejaVu Sans"/>
        <family val="2"/>
      </rPr>
      <t xml:space="preserve">开发成本假设 </t>
    </r>
    <r>
      <rPr>
        <b val="true"/>
        <sz val="11"/>
        <color rgb="FFFFFFFF"/>
        <rFont val="Arial"/>
        <family val="0"/>
        <charset val="1"/>
      </rPr>
      <t xml:space="preserve">(Development Cost)</t>
    </r>
  </si>
  <si>
    <t xml:space="preserve">参数</t>
  </si>
  <si>
    <t xml:space="preserve">数值</t>
  </si>
  <si>
    <t xml:space="preserve">说明</t>
  </si>
  <si>
    <t xml:space="preserve">单位</t>
  </si>
  <si>
    <t xml:space="preserve">开发者时薪</t>
  </si>
  <si>
    <r>
      <rPr>
        <i val="true"/>
        <sz val="9"/>
        <color rgb="FF888888"/>
        <rFont val="DejaVu Sans"/>
        <family val="2"/>
      </rPr>
      <t xml:space="preserve">自由职业市场价；</t>
    </r>
    <r>
      <rPr>
        <i val="true"/>
        <sz val="9"/>
        <color rgb="FF888888"/>
        <rFont val="Arial"/>
        <family val="0"/>
        <charset val="1"/>
      </rPr>
      <t xml:space="preserve">solo founder</t>
    </r>
    <r>
      <rPr>
        <i val="true"/>
        <sz val="9"/>
        <color rgb="FF888888"/>
        <rFont val="DejaVu Sans"/>
        <family val="2"/>
      </rPr>
      <t xml:space="preserve">可设为</t>
    </r>
    <r>
      <rPr>
        <i val="true"/>
        <sz val="9"/>
        <color rgb="FF888888"/>
        <rFont val="Arial"/>
        <family val="0"/>
        <charset val="1"/>
      </rPr>
      <t xml:space="preserve">0</t>
    </r>
    <r>
      <rPr>
        <i val="true"/>
        <sz val="9"/>
        <color rgb="FF888888"/>
        <rFont val="DejaVu Sans"/>
        <family val="2"/>
      </rPr>
      <t xml:space="preserve">看纯现金成本</t>
    </r>
  </si>
  <si>
    <t xml:space="preserve">$</t>
  </si>
  <si>
    <r>
      <rPr>
        <sz val="10"/>
        <color rgb="FF333333"/>
        <rFont val="Arial"/>
        <family val="0"/>
        <charset val="1"/>
      </rPr>
      <t xml:space="preserve">P0 </t>
    </r>
    <r>
      <rPr>
        <sz val="10"/>
        <color rgb="FF333333"/>
        <rFont val="DejaVu Sans"/>
        <family val="2"/>
      </rPr>
      <t xml:space="preserve">修复工作量</t>
    </r>
  </si>
  <si>
    <r>
      <rPr>
        <i val="true"/>
        <sz val="9"/>
        <color rgb="FF888888"/>
        <rFont val="DejaVu Sans"/>
        <family val="2"/>
      </rPr>
      <t xml:space="preserve">博客过滤</t>
    </r>
    <r>
      <rPr>
        <i val="true"/>
        <sz val="9"/>
        <color rgb="FF888888"/>
        <rFont val="Arial"/>
        <family val="0"/>
        <charset val="1"/>
      </rPr>
      <t xml:space="preserve">+</t>
    </r>
    <r>
      <rPr>
        <i val="true"/>
        <sz val="9"/>
        <color rgb="FF888888"/>
        <rFont val="DejaVu Sans"/>
        <family val="2"/>
      </rPr>
      <t xml:space="preserve">语言修复</t>
    </r>
    <r>
      <rPr>
        <i val="true"/>
        <sz val="9"/>
        <color rgb="FF888888"/>
        <rFont val="Arial"/>
        <family val="0"/>
        <charset val="1"/>
      </rPr>
      <t xml:space="preserve">+Hero CSS</t>
    </r>
  </si>
  <si>
    <r>
      <rPr>
        <sz val="10"/>
        <color rgb="FF333333"/>
        <rFont val="Arial"/>
        <family val="0"/>
        <charset val="1"/>
      </rPr>
      <t xml:space="preserve">Email Digest </t>
    </r>
    <r>
      <rPr>
        <sz val="10"/>
        <color rgb="FF333333"/>
        <rFont val="DejaVu Sans"/>
        <family val="2"/>
      </rPr>
      <t xml:space="preserve">系统</t>
    </r>
  </si>
  <si>
    <r>
      <rPr>
        <i val="true"/>
        <sz val="9"/>
        <color rgb="FF888888"/>
        <rFont val="DejaVu Sans"/>
        <family val="2"/>
      </rPr>
      <t xml:space="preserve">前端订阅入口</t>
    </r>
    <r>
      <rPr>
        <i val="true"/>
        <sz val="9"/>
        <color rgb="FF888888"/>
        <rFont val="Arial"/>
        <family val="0"/>
        <charset val="1"/>
      </rPr>
      <t xml:space="preserve">+Resend</t>
    </r>
    <r>
      <rPr>
        <i val="true"/>
        <sz val="9"/>
        <color rgb="FF888888"/>
        <rFont val="DejaVu Sans"/>
        <family val="2"/>
      </rPr>
      <t xml:space="preserve">接入</t>
    </r>
    <r>
      <rPr>
        <i val="true"/>
        <sz val="9"/>
        <color rgb="FF888888"/>
        <rFont val="Arial"/>
        <family val="0"/>
        <charset val="1"/>
      </rPr>
      <t xml:space="preserve">+Claude</t>
    </r>
    <r>
      <rPr>
        <i val="true"/>
        <sz val="9"/>
        <color rgb="FF888888"/>
        <rFont val="DejaVu Sans"/>
        <family val="2"/>
      </rPr>
      <t xml:space="preserve">自动生成</t>
    </r>
  </si>
  <si>
    <t xml:space="preserve">产品详情页升级</t>
  </si>
  <si>
    <r>
      <rPr>
        <i val="true"/>
        <sz val="9"/>
        <color rgb="FF888888"/>
        <rFont val="DejaVu Sans"/>
        <family val="2"/>
      </rPr>
      <t xml:space="preserve">竞品模块</t>
    </r>
    <r>
      <rPr>
        <i val="true"/>
        <sz val="9"/>
        <color rgb="FF888888"/>
        <rFont val="Arial"/>
        <family val="0"/>
        <charset val="1"/>
      </rPr>
      <t xml:space="preserve">+</t>
    </r>
    <r>
      <rPr>
        <i val="true"/>
        <sz val="9"/>
        <color rgb="FF888888"/>
        <rFont val="DejaVu Sans"/>
        <family val="2"/>
      </rPr>
      <t xml:space="preserve">新闻时间线</t>
    </r>
    <r>
      <rPr>
        <i val="true"/>
        <sz val="9"/>
        <color rgb="FF888888"/>
        <rFont val="Arial"/>
        <family val="0"/>
        <charset val="1"/>
      </rPr>
      <t xml:space="preserve">+pm_insight</t>
    </r>
    <r>
      <rPr>
        <i val="true"/>
        <sz val="9"/>
        <color rgb="FF888888"/>
        <rFont val="DejaVu Sans"/>
        <family val="2"/>
      </rPr>
      <t xml:space="preserve">字段</t>
    </r>
  </si>
  <si>
    <t xml:space="preserve">收藏夹情报板</t>
  </si>
  <si>
    <r>
      <rPr>
        <i val="true"/>
        <sz val="9"/>
        <color rgb="FF888888"/>
        <rFont val="DejaVu Sans"/>
        <family val="2"/>
      </rPr>
      <t xml:space="preserve">标签</t>
    </r>
    <r>
      <rPr>
        <i val="true"/>
        <sz val="9"/>
        <color rgb="FF888888"/>
        <rFont val="Arial"/>
        <family val="0"/>
        <charset val="1"/>
      </rPr>
      <t xml:space="preserve">/</t>
    </r>
    <r>
      <rPr>
        <i val="true"/>
        <sz val="9"/>
        <color rgb="FF888888"/>
        <rFont val="DejaVu Sans"/>
        <family val="2"/>
      </rPr>
      <t xml:space="preserve">分组</t>
    </r>
    <r>
      <rPr>
        <i val="true"/>
        <sz val="9"/>
        <color rgb="FF888888"/>
        <rFont val="Arial"/>
        <family val="0"/>
        <charset val="1"/>
      </rPr>
      <t xml:space="preserve">/</t>
    </r>
    <r>
      <rPr>
        <i val="true"/>
        <sz val="9"/>
        <color rgb="FF888888"/>
        <rFont val="DejaVu Sans"/>
        <family val="2"/>
      </rPr>
      <t xml:space="preserve">导出</t>
    </r>
    <r>
      <rPr>
        <i val="true"/>
        <sz val="9"/>
        <color rgb="FF888888"/>
        <rFont val="Arial"/>
        <family val="0"/>
        <charset val="1"/>
      </rPr>
      <t xml:space="preserve">/</t>
    </r>
    <r>
      <rPr>
        <i val="true"/>
        <sz val="9"/>
        <color rgb="FF888888"/>
        <rFont val="DejaVu Sans"/>
        <family val="2"/>
      </rPr>
      <t xml:space="preserve">分享链接</t>
    </r>
  </si>
  <si>
    <t xml:space="preserve">语义搜索</t>
  </si>
  <si>
    <r>
      <rPr>
        <i val="true"/>
        <sz val="9"/>
        <color rgb="FF888888"/>
        <rFont val="Arial"/>
        <family val="0"/>
        <charset val="1"/>
      </rPr>
      <t xml:space="preserve">Embedding</t>
    </r>
    <r>
      <rPr>
        <i val="true"/>
        <sz val="9"/>
        <color rgb="FF888888"/>
        <rFont val="DejaVu Sans"/>
        <family val="2"/>
      </rPr>
      <t xml:space="preserve">生成</t>
    </r>
    <r>
      <rPr>
        <i val="true"/>
        <sz val="9"/>
        <color rgb="FF888888"/>
        <rFont val="Arial"/>
        <family val="0"/>
        <charset val="1"/>
      </rPr>
      <t xml:space="preserve">+</t>
    </r>
    <r>
      <rPr>
        <i val="true"/>
        <sz val="9"/>
        <color rgb="FF888888"/>
        <rFont val="DejaVu Sans"/>
        <family val="2"/>
      </rPr>
      <t xml:space="preserve">向量检索</t>
    </r>
    <r>
      <rPr>
        <i val="true"/>
        <sz val="9"/>
        <color rgb="FF888888"/>
        <rFont val="Arial"/>
        <family val="0"/>
        <charset val="1"/>
      </rPr>
      <t xml:space="preserve">+</t>
    </r>
    <r>
      <rPr>
        <i val="true"/>
        <sz val="9"/>
        <color rgb="FF888888"/>
        <rFont val="DejaVu Sans"/>
        <family val="2"/>
      </rPr>
      <t xml:space="preserve">混合排序</t>
    </r>
  </si>
  <si>
    <t xml:space="preserve">横向对比功能</t>
  </si>
  <si>
    <r>
      <rPr>
        <i val="true"/>
        <sz val="9"/>
        <color rgb="FF888888"/>
        <rFont val="DejaVu Sans"/>
        <family val="2"/>
      </rPr>
      <t xml:space="preserve">多产品并排对比</t>
    </r>
    <r>
      <rPr>
        <i val="true"/>
        <sz val="9"/>
        <color rgb="FF888888"/>
        <rFont val="Arial"/>
        <family val="0"/>
        <charset val="1"/>
      </rPr>
      <t xml:space="preserve">+</t>
    </r>
    <r>
      <rPr>
        <i val="true"/>
        <sz val="9"/>
        <color rgb="FF888888"/>
        <rFont val="DejaVu Sans"/>
        <family val="2"/>
      </rPr>
      <t xml:space="preserve">分享链接</t>
    </r>
  </si>
  <si>
    <r>
      <rPr>
        <sz val="10"/>
        <color rgb="FF333333"/>
        <rFont val="Arial"/>
        <family val="0"/>
        <charset val="1"/>
      </rPr>
      <t xml:space="preserve">Weekly</t>
    </r>
    <r>
      <rPr>
        <sz val="10"/>
        <color rgb="FF333333"/>
        <rFont val="DejaVu Sans"/>
        <family val="2"/>
      </rPr>
      <t xml:space="preserve">汇总页</t>
    </r>
  </si>
  <si>
    <r>
      <rPr>
        <i val="true"/>
        <sz val="9"/>
        <color rgb="FF888888"/>
        <rFont val="Arial"/>
        <family val="0"/>
        <charset val="1"/>
      </rPr>
      <t xml:space="preserve">/weekly</t>
    </r>
    <r>
      <rPr>
        <i val="true"/>
        <sz val="9"/>
        <color rgb="FF888888"/>
        <rFont val="DejaVu Sans"/>
        <family val="2"/>
      </rPr>
      <t xml:space="preserve">路由</t>
    </r>
    <r>
      <rPr>
        <i val="true"/>
        <sz val="9"/>
        <color rgb="FF888888"/>
        <rFont val="Arial"/>
        <family val="0"/>
        <charset val="1"/>
      </rPr>
      <t xml:space="preserve">+</t>
    </r>
    <r>
      <rPr>
        <i val="true"/>
        <sz val="9"/>
        <color rgb="FF888888"/>
        <rFont val="DejaVu Sans"/>
        <family val="2"/>
      </rPr>
      <t xml:space="preserve">后端新接口</t>
    </r>
  </si>
  <si>
    <r>
      <rPr>
        <sz val="10"/>
        <color rgb="FF333333"/>
        <rFont val="Arial"/>
        <family val="0"/>
        <charset val="1"/>
      </rPr>
      <t xml:space="preserve">Discover</t>
    </r>
    <r>
      <rPr>
        <sz val="10"/>
        <color rgb="FF333333"/>
        <rFont val="DejaVu Sans"/>
        <family val="2"/>
      </rPr>
      <t xml:space="preserve">个性化</t>
    </r>
  </si>
  <si>
    <r>
      <rPr>
        <i val="true"/>
        <sz val="9"/>
        <color rgb="FF888888"/>
        <rFont val="Arial"/>
        <family val="0"/>
        <charset val="1"/>
      </rPr>
      <t xml:space="preserve">localStorage</t>
    </r>
    <r>
      <rPr>
        <i val="true"/>
        <sz val="9"/>
        <color rgb="FF888888"/>
        <rFont val="DejaVu Sans"/>
        <family val="2"/>
      </rPr>
      <t xml:space="preserve">偏好学习</t>
    </r>
    <r>
      <rPr>
        <i val="true"/>
        <sz val="9"/>
        <color rgb="FF888888"/>
        <rFont val="Arial"/>
        <family val="0"/>
        <charset val="1"/>
      </rPr>
      <t xml:space="preserve">+</t>
    </r>
    <r>
      <rPr>
        <i val="true"/>
        <sz val="9"/>
        <color rgb="FF888888"/>
        <rFont val="DejaVu Sans"/>
        <family val="2"/>
      </rPr>
      <t xml:space="preserve">权重排序</t>
    </r>
  </si>
  <si>
    <r>
      <rPr>
        <sz val="10"/>
        <color rgb="FF333333"/>
        <rFont val="Arial"/>
        <family val="0"/>
        <charset val="1"/>
      </rPr>
      <t xml:space="preserve">Mobile</t>
    </r>
    <r>
      <rPr>
        <sz val="10"/>
        <color rgb="FF333333"/>
        <rFont val="DejaVu Sans"/>
        <family val="2"/>
      </rPr>
      <t xml:space="preserve">体验优化</t>
    </r>
  </si>
  <si>
    <r>
      <rPr>
        <i val="true"/>
        <sz val="9"/>
        <color rgb="FF888888"/>
        <rFont val="DejaVu Sans"/>
        <family val="2"/>
      </rPr>
      <t xml:space="preserve">响应式修复</t>
    </r>
    <r>
      <rPr>
        <i val="true"/>
        <sz val="9"/>
        <color rgb="FF888888"/>
        <rFont val="Arial"/>
        <family val="0"/>
        <charset val="1"/>
      </rPr>
      <t xml:space="preserve">+</t>
    </r>
    <r>
      <rPr>
        <i val="true"/>
        <sz val="9"/>
        <color rgb="FF888888"/>
        <rFont val="DejaVu Sans"/>
        <family val="2"/>
      </rPr>
      <t xml:space="preserve">手势交互</t>
    </r>
  </si>
  <si>
    <t xml:space="preserve">  → 总开发工时</t>
  </si>
  <si>
    <t xml:space="preserve">所有功能合计</t>
  </si>
  <si>
    <t xml:space="preserve">  → 总开发现金成本</t>
  </si>
  <si>
    <r>
      <rPr>
        <i val="true"/>
        <sz val="9"/>
        <color rgb="FF888888"/>
        <rFont val="DejaVu Sans"/>
        <family val="2"/>
      </rPr>
      <t xml:space="preserve">时薪 </t>
    </r>
    <r>
      <rPr>
        <i val="true"/>
        <sz val="9"/>
        <color rgb="FF888888"/>
        <rFont val="Arial"/>
        <family val="0"/>
        <charset val="1"/>
      </rPr>
      <t xml:space="preserve">× </t>
    </r>
    <r>
      <rPr>
        <i val="true"/>
        <sz val="9"/>
        <color rgb="FF888888"/>
        <rFont val="DejaVu Sans"/>
        <family val="2"/>
      </rPr>
      <t xml:space="preserve">工时（</t>
    </r>
    <r>
      <rPr>
        <i val="true"/>
        <sz val="9"/>
        <color rgb="FF888888"/>
        <rFont val="Arial"/>
        <family val="0"/>
        <charset val="1"/>
      </rPr>
      <t xml:space="preserve">solo founder = $0</t>
    </r>
    <r>
      <rPr>
        <i val="true"/>
        <sz val="9"/>
        <color rgb="FF888888"/>
        <rFont val="DejaVu Sans"/>
        <family val="2"/>
      </rPr>
      <t xml:space="preserve">）</t>
    </r>
  </si>
  <si>
    <r>
      <rPr>
        <b val="true"/>
        <sz val="11"/>
        <color rgb="FFFFFFFF"/>
        <rFont val="Arial"/>
        <family val="0"/>
        <charset val="1"/>
      </rPr>
      <t xml:space="preserve">B  </t>
    </r>
    <r>
      <rPr>
        <b val="true"/>
        <sz val="11"/>
        <color rgb="FFFFFFFF"/>
        <rFont val="DejaVu Sans"/>
        <family val="2"/>
      </rPr>
      <t xml:space="preserve">每月基础设施成本 </t>
    </r>
    <r>
      <rPr>
        <b val="true"/>
        <sz val="11"/>
        <color rgb="FFFFFFFF"/>
        <rFont val="Arial"/>
        <family val="0"/>
        <charset val="1"/>
      </rPr>
      <t xml:space="preserve">(Monthly Infrastructure)</t>
    </r>
  </si>
  <si>
    <r>
      <rPr>
        <sz val="10"/>
        <color rgb="FF333333"/>
        <rFont val="Arial"/>
        <family val="0"/>
        <charset val="1"/>
      </rPr>
      <t xml:space="preserve">Vercel Pro (</t>
    </r>
    <r>
      <rPr>
        <sz val="10"/>
        <color rgb="FF333333"/>
        <rFont val="DejaVu Sans"/>
        <family val="2"/>
      </rPr>
      <t xml:space="preserve">前端托管</t>
    </r>
    <r>
      <rPr>
        <sz val="10"/>
        <color rgb="FF333333"/>
        <rFont val="Arial"/>
        <family val="0"/>
        <charset val="1"/>
      </rPr>
      <t xml:space="preserve">)</t>
    </r>
  </si>
  <si>
    <r>
      <rPr>
        <i val="true"/>
        <sz val="9"/>
        <color rgb="FF888888"/>
        <rFont val="DejaVu Sans"/>
        <family val="2"/>
      </rPr>
      <t xml:space="preserve">免费额度够用前可用</t>
    </r>
    <r>
      <rPr>
        <i val="true"/>
        <sz val="9"/>
        <color rgb="FF888888"/>
        <rFont val="Arial"/>
        <family val="0"/>
        <charset val="1"/>
      </rPr>
      <t xml:space="preserve">Hobby($0)</t>
    </r>
    <r>
      <rPr>
        <i val="true"/>
        <sz val="9"/>
        <color rgb="FF888888"/>
        <rFont val="DejaVu Sans"/>
        <family val="2"/>
      </rPr>
      <t xml:space="preserve">，流量大后升级</t>
    </r>
  </si>
  <si>
    <t xml:space="preserve">MongoDB Atlas M10</t>
  </si>
  <si>
    <r>
      <rPr>
        <i val="true"/>
        <sz val="9"/>
        <color rgb="FF888888"/>
        <rFont val="DejaVu Sans"/>
        <family val="2"/>
      </rPr>
      <t xml:space="preserve">当前规模</t>
    </r>
    <r>
      <rPr>
        <i val="true"/>
        <sz val="9"/>
        <color rgb="FF888888"/>
        <rFont val="Arial"/>
        <family val="0"/>
        <charset val="1"/>
      </rPr>
      <t xml:space="preserve">M2($9)</t>
    </r>
    <r>
      <rPr>
        <i val="true"/>
        <sz val="9"/>
        <color rgb="FF888888"/>
        <rFont val="DejaVu Sans"/>
        <family val="2"/>
      </rPr>
      <t xml:space="preserve">够用，增长后升级</t>
    </r>
  </si>
  <si>
    <t xml:space="preserve">Perplexity API</t>
  </si>
  <si>
    <r>
      <rPr>
        <i val="true"/>
        <sz val="9"/>
        <color rgb="FF888888"/>
        <rFont val="Arial"/>
        <family val="0"/>
        <charset val="1"/>
      </rPr>
      <t xml:space="preserve">Sonar Pro ~$35/</t>
    </r>
    <r>
      <rPr>
        <i val="true"/>
        <sz val="9"/>
        <color rgb="FF888888"/>
        <rFont val="DejaVu Sans"/>
        <family val="2"/>
      </rPr>
      <t xml:space="preserve">月，</t>
    </r>
    <r>
      <rPr>
        <i val="true"/>
        <sz val="9"/>
        <color rgb="FF888888"/>
        <rFont val="Arial"/>
        <family val="0"/>
        <charset val="1"/>
      </rPr>
      <t xml:space="preserve">base sonar ~$20/</t>
    </r>
    <r>
      <rPr>
        <i val="true"/>
        <sz val="9"/>
        <color rgb="FF888888"/>
        <rFont val="DejaVu Sans"/>
        <family val="2"/>
      </rPr>
      <t xml:space="preserve">月，取中间值</t>
    </r>
  </si>
  <si>
    <r>
      <rPr>
        <sz val="10"/>
        <color rgb="FF333333"/>
        <rFont val="Arial"/>
        <family val="0"/>
        <charset val="1"/>
      </rPr>
      <t xml:space="preserve">Zhipu GLM API (</t>
    </r>
    <r>
      <rPr>
        <sz val="10"/>
        <color rgb="FF333333"/>
        <rFont val="DejaVu Sans"/>
        <family val="2"/>
      </rPr>
      <t xml:space="preserve">中国区</t>
    </r>
    <r>
      <rPr>
        <sz val="10"/>
        <color rgb="FF333333"/>
        <rFont val="Arial"/>
        <family val="0"/>
        <charset val="1"/>
      </rPr>
      <t xml:space="preserve">)</t>
    </r>
  </si>
  <si>
    <r>
      <rPr>
        <i val="true"/>
        <sz val="9"/>
        <color rgb="FF888888"/>
        <rFont val="Arial"/>
        <family val="0"/>
        <charset val="1"/>
      </rPr>
      <t xml:space="preserve">¥50/</t>
    </r>
    <r>
      <rPr>
        <i val="true"/>
        <sz val="9"/>
        <color rgb="FF888888"/>
        <rFont val="DejaVu Sans"/>
        <family val="2"/>
      </rPr>
      <t xml:space="preserve">月 ≈ </t>
    </r>
    <r>
      <rPr>
        <i val="true"/>
        <sz val="9"/>
        <color rgb="FF888888"/>
        <rFont val="Arial"/>
        <family val="0"/>
        <charset val="1"/>
      </rPr>
      <t xml:space="preserve">$7</t>
    </r>
    <r>
      <rPr>
        <i val="true"/>
        <sz val="9"/>
        <color rgb="FF888888"/>
        <rFont val="DejaVu Sans"/>
        <family val="2"/>
      </rPr>
      <t xml:space="preserve">，</t>
    </r>
    <r>
      <rPr>
        <i val="true"/>
        <sz val="9"/>
        <color rgb="FF888888"/>
        <rFont val="Arial"/>
        <family val="0"/>
        <charset val="1"/>
      </rPr>
      <t xml:space="preserve">search_pro</t>
    </r>
    <r>
      <rPr>
        <i val="true"/>
        <sz val="9"/>
        <color rgb="FF888888"/>
        <rFont val="DejaVu Sans"/>
        <family val="2"/>
      </rPr>
      <t xml:space="preserve">模式</t>
    </r>
  </si>
  <si>
    <r>
      <rPr>
        <sz val="10"/>
        <color rgb="FF333333"/>
        <rFont val="Arial"/>
        <family val="0"/>
        <charset val="1"/>
      </rPr>
      <t xml:space="preserve">Claude API (Digest</t>
    </r>
    <r>
      <rPr>
        <sz val="10"/>
        <color rgb="FF333333"/>
        <rFont val="DejaVu Sans"/>
        <family val="2"/>
      </rPr>
      <t xml:space="preserve">生成</t>
    </r>
    <r>
      <rPr>
        <sz val="10"/>
        <color rgb="FF333333"/>
        <rFont val="Arial"/>
        <family val="0"/>
        <charset val="1"/>
      </rPr>
      <t xml:space="preserve">)</t>
    </r>
  </si>
  <si>
    <r>
      <rPr>
        <i val="true"/>
        <sz val="9"/>
        <color rgb="FF888888"/>
        <rFont val="DejaVu Sans"/>
        <family val="2"/>
      </rPr>
      <t xml:space="preserve">每周</t>
    </r>
    <r>
      <rPr>
        <i val="true"/>
        <sz val="9"/>
        <color rgb="FF888888"/>
        <rFont val="Arial"/>
        <family val="0"/>
        <charset val="1"/>
      </rPr>
      <t xml:space="preserve">1</t>
    </r>
    <r>
      <rPr>
        <i val="true"/>
        <sz val="9"/>
        <color rgb="FF888888"/>
        <rFont val="DejaVu Sans"/>
        <family val="2"/>
      </rPr>
      <t xml:space="preserve">次，</t>
    </r>
    <r>
      <rPr>
        <i val="true"/>
        <sz val="9"/>
        <color rgb="FF888888"/>
        <rFont val="Arial"/>
        <family val="0"/>
        <charset val="1"/>
      </rPr>
      <t xml:space="preserve">~500tokens × 52</t>
    </r>
    <r>
      <rPr>
        <i val="true"/>
        <sz val="9"/>
        <color rgb="FF888888"/>
        <rFont val="DejaVu Sans"/>
        <family val="2"/>
      </rPr>
      <t xml:space="preserve">周 </t>
    </r>
    <r>
      <rPr>
        <i val="true"/>
        <sz val="9"/>
        <color rgb="FF888888"/>
        <rFont val="Arial"/>
        <family val="0"/>
        <charset val="1"/>
      </rPr>
      <t xml:space="preserve">÷ 12 ≈ </t>
    </r>
    <r>
      <rPr>
        <i val="true"/>
        <sz val="9"/>
        <color rgb="FF888888"/>
        <rFont val="DejaVu Sans"/>
        <family val="2"/>
      </rPr>
      <t xml:space="preserve">微小成本</t>
    </r>
  </si>
  <si>
    <r>
      <rPr>
        <sz val="10"/>
        <color rgb="FF333333"/>
        <rFont val="Arial"/>
        <family val="0"/>
        <charset val="1"/>
      </rPr>
      <t xml:space="preserve">Resend (</t>
    </r>
    <r>
      <rPr>
        <sz val="10"/>
        <color rgb="FF333333"/>
        <rFont val="DejaVu Sans"/>
        <family val="2"/>
      </rPr>
      <t xml:space="preserve">邮件发送</t>
    </r>
    <r>
      <rPr>
        <sz val="10"/>
        <color rgb="FF333333"/>
        <rFont val="Arial"/>
        <family val="0"/>
        <charset val="1"/>
      </rPr>
      <t xml:space="preserve">)</t>
    </r>
  </si>
  <si>
    <r>
      <rPr>
        <i val="true"/>
        <sz val="9"/>
        <color rgb="FF888888"/>
        <rFont val="Arial"/>
        <family val="0"/>
        <charset val="1"/>
      </rPr>
      <t xml:space="preserve">≤3000</t>
    </r>
    <r>
      <rPr>
        <i val="true"/>
        <sz val="9"/>
        <color rgb="FF888888"/>
        <rFont val="DejaVu Sans"/>
        <family val="2"/>
      </rPr>
      <t xml:space="preserve">封</t>
    </r>
    <r>
      <rPr>
        <i val="true"/>
        <sz val="9"/>
        <color rgb="FF888888"/>
        <rFont val="Arial"/>
        <family val="0"/>
        <charset val="1"/>
      </rPr>
      <t xml:space="preserve">/</t>
    </r>
    <r>
      <rPr>
        <i val="true"/>
        <sz val="9"/>
        <color rgb="FF888888"/>
        <rFont val="DejaVu Sans"/>
        <family val="2"/>
      </rPr>
      <t xml:space="preserve">月免费；</t>
    </r>
    <r>
      <rPr>
        <i val="true"/>
        <sz val="9"/>
        <color rgb="FF888888"/>
        <rFont val="Arial"/>
        <family val="0"/>
        <charset val="1"/>
      </rPr>
      <t xml:space="preserve">&gt;3000</t>
    </r>
    <r>
      <rPr>
        <i val="true"/>
        <sz val="9"/>
        <color rgb="FF888888"/>
        <rFont val="DejaVu Sans"/>
        <family val="2"/>
      </rPr>
      <t xml:space="preserve">封后</t>
    </r>
    <r>
      <rPr>
        <i val="true"/>
        <sz val="9"/>
        <color rgb="FF888888"/>
        <rFont val="Arial"/>
        <family val="0"/>
        <charset val="1"/>
      </rPr>
      <t xml:space="preserve">$20/</t>
    </r>
    <r>
      <rPr>
        <i val="true"/>
        <sz val="9"/>
        <color rgb="FF888888"/>
        <rFont val="DejaVu Sans"/>
        <family val="2"/>
      </rPr>
      <t xml:space="preserve">月起</t>
    </r>
  </si>
  <si>
    <r>
      <rPr>
        <sz val="10"/>
        <color rgb="FF333333"/>
        <rFont val="DejaVu Sans"/>
        <family val="2"/>
      </rPr>
      <t xml:space="preserve">域名</t>
    </r>
    <r>
      <rPr>
        <sz val="10"/>
        <color rgb="FF333333"/>
        <rFont val="Arial"/>
        <family val="0"/>
        <charset val="1"/>
      </rPr>
      <t xml:space="preserve">/SSL</t>
    </r>
  </si>
  <si>
    <r>
      <rPr>
        <i val="true"/>
        <sz val="9"/>
        <color rgb="FF888888"/>
        <rFont val="Arial"/>
        <family val="0"/>
        <charset val="1"/>
      </rPr>
      <t xml:space="preserve">~$15/</t>
    </r>
    <r>
      <rPr>
        <i val="true"/>
        <sz val="9"/>
        <color rgb="FF888888"/>
        <rFont val="DejaVu Sans"/>
        <family val="2"/>
      </rPr>
      <t xml:space="preserve">年分摊</t>
    </r>
  </si>
  <si>
    <t xml:space="preserve">  → 每月基础设施合计</t>
  </si>
  <si>
    <t xml:space="preserve">不含人力成本的月度运营成本</t>
  </si>
  <si>
    <r>
      <rPr>
        <sz val="10"/>
        <color rgb="FF333333"/>
        <rFont val="Arial"/>
        <family val="0"/>
        <charset val="1"/>
      </rPr>
      <t xml:space="preserve">$/</t>
    </r>
    <r>
      <rPr>
        <sz val="10"/>
        <color rgb="FF333333"/>
        <rFont val="DejaVu Sans"/>
        <family val="2"/>
      </rPr>
      <t xml:space="preserve">月</t>
    </r>
  </si>
  <si>
    <r>
      <rPr>
        <b val="true"/>
        <sz val="11"/>
        <color rgb="FFFFFFFF"/>
        <rFont val="Arial"/>
        <family val="0"/>
        <charset val="1"/>
      </rPr>
      <t xml:space="preserve">C  </t>
    </r>
    <r>
      <rPr>
        <b val="true"/>
        <sz val="11"/>
        <color rgb="FFFFFFFF"/>
        <rFont val="DejaVu Sans"/>
        <family val="2"/>
      </rPr>
      <t xml:space="preserve">收入假设 </t>
    </r>
    <r>
      <rPr>
        <b val="true"/>
        <sz val="11"/>
        <color rgb="FFFFFFFF"/>
        <rFont val="Arial"/>
        <family val="0"/>
        <charset val="1"/>
      </rPr>
      <t xml:space="preserve">(Revenue Assumptions)</t>
    </r>
  </si>
  <si>
    <r>
      <rPr>
        <sz val="10"/>
        <color rgb="FF333333"/>
        <rFont val="DejaVu Sans"/>
        <family val="2"/>
      </rPr>
      <t xml:space="preserve">── 免费邮件订阅增长率 </t>
    </r>
    <r>
      <rPr>
        <sz val="10"/>
        <color rgb="FF333333"/>
        <rFont val="Arial"/>
        <family val="0"/>
        <charset val="1"/>
      </rPr>
      <t xml:space="preserve">(M1-6)</t>
    </r>
  </si>
  <si>
    <t xml:space="preserve">每月新增订阅用户百分比</t>
  </si>
  <si>
    <t xml:space="preserve">%</t>
  </si>
  <si>
    <r>
      <rPr>
        <sz val="10"/>
        <color rgb="FF333333"/>
        <rFont val="DejaVu Sans"/>
        <family val="2"/>
      </rPr>
      <t xml:space="preserve">── 免费邮件订阅增长率 </t>
    </r>
    <r>
      <rPr>
        <sz val="10"/>
        <color rgb="FF333333"/>
        <rFont val="Arial"/>
        <family val="0"/>
        <charset val="1"/>
      </rPr>
      <t xml:space="preserve">(M7-12)</t>
    </r>
  </si>
  <si>
    <t xml:space="preserve">增速自然放缓</t>
  </si>
  <si>
    <r>
      <rPr>
        <sz val="10"/>
        <color rgb="FF333333"/>
        <rFont val="DejaVu Sans"/>
        <family val="2"/>
      </rPr>
      <t xml:space="preserve">── 免费邮件订阅增长率 </t>
    </r>
    <r>
      <rPr>
        <sz val="10"/>
        <color rgb="FF333333"/>
        <rFont val="Arial"/>
        <family val="0"/>
        <charset val="1"/>
      </rPr>
      <t xml:space="preserve">(M13-24)</t>
    </r>
  </si>
  <si>
    <t xml:space="preserve">成熟期稳定增速</t>
  </si>
  <si>
    <r>
      <rPr>
        <sz val="10"/>
        <color rgb="FF333333"/>
        <rFont val="DejaVu Sans"/>
        <family val="2"/>
      </rPr>
      <t xml:space="preserve">── 初始免费订阅基数 </t>
    </r>
    <r>
      <rPr>
        <sz val="10"/>
        <color rgb="FF333333"/>
        <rFont val="Arial"/>
        <family val="0"/>
        <charset val="1"/>
      </rPr>
      <t xml:space="preserve">(M0)</t>
    </r>
  </si>
  <si>
    <t xml:space="preserve">上线时通过现有用户转化的估算</t>
  </si>
  <si>
    <t xml:space="preserve">人</t>
  </si>
  <si>
    <r>
      <rPr>
        <sz val="10"/>
        <color rgb="FF333333"/>
        <rFont val="DejaVu Sans"/>
        <family val="2"/>
      </rPr>
      <t xml:space="preserve">── 付费</t>
    </r>
    <r>
      <rPr>
        <sz val="10"/>
        <color rgb="FF333333"/>
        <rFont val="Arial"/>
        <family val="0"/>
        <charset val="1"/>
      </rPr>
      <t xml:space="preserve">Newsletter</t>
    </r>
    <r>
      <rPr>
        <sz val="10"/>
        <color rgb="FF333333"/>
        <rFont val="DejaVu Sans"/>
        <family val="2"/>
      </rPr>
      <t xml:space="preserve">转化率</t>
    </r>
  </si>
  <si>
    <r>
      <rPr>
        <i val="true"/>
        <sz val="9"/>
        <color rgb="FF888888"/>
        <rFont val="DejaVu Sans"/>
        <family val="2"/>
      </rPr>
      <t xml:space="preserve">行业</t>
    </r>
    <r>
      <rPr>
        <i val="true"/>
        <sz val="9"/>
        <color rgb="FF888888"/>
        <rFont val="Arial"/>
        <family val="0"/>
        <charset val="1"/>
      </rPr>
      <t xml:space="preserve">B2B niche</t>
    </r>
    <r>
      <rPr>
        <i val="true"/>
        <sz val="9"/>
        <color rgb="FF888888"/>
        <rFont val="DejaVu Sans"/>
        <family val="2"/>
      </rPr>
      <t xml:space="preserve">订阅</t>
    </r>
    <r>
      <rPr>
        <i val="true"/>
        <sz val="9"/>
        <color rgb="FF888888"/>
        <rFont val="Arial"/>
        <family val="0"/>
        <charset val="1"/>
      </rPr>
      <t xml:space="preserve">3-5%</t>
    </r>
    <r>
      <rPr>
        <i val="true"/>
        <sz val="9"/>
        <color rgb="FF888888"/>
        <rFont val="DejaVu Sans"/>
        <family val="2"/>
      </rPr>
      <t xml:space="preserve">属正常</t>
    </r>
  </si>
  <si>
    <r>
      <rPr>
        <sz val="10"/>
        <color rgb="FF333333"/>
        <rFont val="DejaVu Sans"/>
        <family val="2"/>
      </rPr>
      <t xml:space="preserve">── 付费</t>
    </r>
    <r>
      <rPr>
        <sz val="10"/>
        <color rgb="FF333333"/>
        <rFont val="Arial"/>
        <family val="0"/>
        <charset val="1"/>
      </rPr>
      <t xml:space="preserve">Newsletter</t>
    </r>
    <r>
      <rPr>
        <sz val="10"/>
        <color rgb="FF333333"/>
        <rFont val="DejaVu Sans"/>
        <family val="2"/>
      </rPr>
      <t xml:space="preserve">价格</t>
    </r>
  </si>
  <si>
    <r>
      <rPr>
        <i val="true"/>
        <sz val="9"/>
        <color rgb="FF888888"/>
        <rFont val="Arial"/>
        <family val="0"/>
        <charset val="1"/>
      </rPr>
      <t xml:space="preserve">$9/</t>
    </r>
    <r>
      <rPr>
        <i val="true"/>
        <sz val="9"/>
        <color rgb="FF888888"/>
        <rFont val="DejaVu Sans"/>
        <family val="2"/>
      </rPr>
      <t xml:space="preserve">月 或 </t>
    </r>
    <r>
      <rPr>
        <i val="true"/>
        <sz val="9"/>
        <color rgb="FF888888"/>
        <rFont val="Arial"/>
        <family val="0"/>
        <charset val="1"/>
      </rPr>
      <t xml:space="preserve">$89/</t>
    </r>
    <r>
      <rPr>
        <i val="true"/>
        <sz val="9"/>
        <color rgb="FF888888"/>
        <rFont val="DejaVu Sans"/>
        <family val="2"/>
      </rPr>
      <t xml:space="preserve">年（选月付）</t>
    </r>
  </si>
  <si>
    <r>
      <rPr>
        <sz val="10"/>
        <color rgb="FF333333"/>
        <rFont val="Arial"/>
        <family val="0"/>
        <charset val="1"/>
      </rPr>
      <t xml:space="preserve">── Newsletter</t>
    </r>
    <r>
      <rPr>
        <sz val="10"/>
        <color rgb="FF333333"/>
        <rFont val="DejaVu Sans"/>
        <family val="2"/>
      </rPr>
      <t xml:space="preserve">付费启动月份</t>
    </r>
  </si>
  <si>
    <r>
      <rPr>
        <i val="true"/>
        <sz val="9"/>
        <color rgb="FF888888"/>
        <rFont val="DejaVu Sans"/>
        <family val="2"/>
      </rPr>
      <t xml:space="preserve">第</t>
    </r>
    <r>
      <rPr>
        <i val="true"/>
        <sz val="9"/>
        <color rgb="FF888888"/>
        <rFont val="Arial"/>
        <family val="0"/>
        <charset val="1"/>
      </rPr>
      <t xml:space="preserve">4</t>
    </r>
    <r>
      <rPr>
        <i val="true"/>
        <sz val="9"/>
        <color rgb="FF888888"/>
        <rFont val="DejaVu Sans"/>
        <family val="2"/>
      </rPr>
      <t xml:space="preserve">个月推出付费层</t>
    </r>
  </si>
  <si>
    <t xml:space="preserve">Month</t>
  </si>
  <si>
    <r>
      <rPr>
        <sz val="10"/>
        <color rgb="FF333333"/>
        <rFont val="DejaVu Sans"/>
        <family val="2"/>
      </rPr>
      <t xml:space="preserve">── 竞品情报</t>
    </r>
    <r>
      <rPr>
        <sz val="10"/>
        <color rgb="FF333333"/>
        <rFont val="Arial"/>
        <family val="0"/>
        <charset val="1"/>
      </rPr>
      <t xml:space="preserve">Pro</t>
    </r>
    <r>
      <rPr>
        <sz val="10"/>
        <color rgb="FF333333"/>
        <rFont val="DejaVu Sans"/>
        <family val="2"/>
      </rPr>
      <t xml:space="preserve">转化率</t>
    </r>
    <r>
      <rPr>
        <sz val="10"/>
        <color rgb="FF333333"/>
        <rFont val="Arial"/>
        <family val="0"/>
        <charset val="1"/>
      </rPr>
      <t xml:space="preserve">(</t>
    </r>
    <r>
      <rPr>
        <sz val="10"/>
        <color rgb="FF333333"/>
        <rFont val="DejaVu Sans"/>
        <family val="2"/>
      </rPr>
      <t xml:space="preserve">占</t>
    </r>
    <r>
      <rPr>
        <sz val="10"/>
        <color rgb="FF333333"/>
        <rFont val="Arial"/>
        <family val="0"/>
        <charset val="1"/>
      </rPr>
      <t xml:space="preserve">MAU)</t>
    </r>
  </si>
  <si>
    <r>
      <rPr>
        <i val="true"/>
        <sz val="9"/>
        <color rgb="FF888888"/>
        <rFont val="DejaVu Sans"/>
        <family val="2"/>
      </rPr>
      <t xml:space="preserve">参考</t>
    </r>
    <r>
      <rPr>
        <i val="true"/>
        <sz val="9"/>
        <color rgb="FF888888"/>
        <rFont val="Arial"/>
        <family val="0"/>
        <charset val="1"/>
      </rPr>
      <t xml:space="preserve">Linear/Notion</t>
    </r>
    <r>
      <rPr>
        <i val="true"/>
        <sz val="9"/>
        <color rgb="FF888888"/>
        <rFont val="DejaVu Sans"/>
        <family val="2"/>
      </rPr>
      <t xml:space="preserve">早期</t>
    </r>
    <r>
      <rPr>
        <i val="true"/>
        <sz val="9"/>
        <color rgb="FF888888"/>
        <rFont val="Arial"/>
        <family val="0"/>
        <charset val="1"/>
      </rPr>
      <t xml:space="preserve">B2B</t>
    </r>
    <r>
      <rPr>
        <i val="true"/>
        <sz val="9"/>
        <color rgb="FF888888"/>
        <rFont val="DejaVu Sans"/>
        <family val="2"/>
      </rPr>
      <t xml:space="preserve">转化</t>
    </r>
  </si>
  <si>
    <r>
      <rPr>
        <sz val="10"/>
        <color rgb="FF333333"/>
        <rFont val="DejaVu Sans"/>
        <family val="2"/>
      </rPr>
      <t xml:space="preserve">── 竞品情报</t>
    </r>
    <r>
      <rPr>
        <sz val="10"/>
        <color rgb="FF333333"/>
        <rFont val="Arial"/>
        <family val="0"/>
        <charset val="1"/>
      </rPr>
      <t xml:space="preserve">Pro</t>
    </r>
    <r>
      <rPr>
        <sz val="10"/>
        <color rgb="FF333333"/>
        <rFont val="DejaVu Sans"/>
        <family val="2"/>
      </rPr>
      <t xml:space="preserve">定价</t>
    </r>
  </si>
  <si>
    <r>
      <rPr>
        <i val="true"/>
        <sz val="9"/>
        <color rgb="FF888888"/>
        <rFont val="Arial"/>
        <family val="0"/>
        <charset val="1"/>
      </rPr>
      <t xml:space="preserve">$29/</t>
    </r>
    <r>
      <rPr>
        <i val="true"/>
        <sz val="9"/>
        <color rgb="FF888888"/>
        <rFont val="DejaVu Sans"/>
        <family val="2"/>
      </rPr>
      <t xml:space="preserve">月</t>
    </r>
    <r>
      <rPr>
        <i val="true"/>
        <sz val="9"/>
        <color rgb="FF888888"/>
        <rFont val="Arial"/>
        <family val="0"/>
        <charset val="1"/>
      </rPr>
      <t xml:space="preserve">/</t>
    </r>
    <r>
      <rPr>
        <i val="true"/>
        <sz val="9"/>
        <color rgb="FF888888"/>
        <rFont val="DejaVu Sans"/>
        <family val="2"/>
      </rPr>
      <t xml:space="preserve">用户，偏低定价打开市场</t>
    </r>
  </si>
  <si>
    <t xml:space="preserve">── 竞品情报启动月份</t>
  </si>
  <si>
    <r>
      <rPr>
        <i val="true"/>
        <sz val="9"/>
        <color rgb="FF888888"/>
        <rFont val="DejaVu Sans"/>
        <family val="2"/>
      </rPr>
      <t xml:space="preserve">第</t>
    </r>
    <r>
      <rPr>
        <i val="true"/>
        <sz val="9"/>
        <color rgb="FF888888"/>
        <rFont val="Arial"/>
        <family val="0"/>
        <charset val="1"/>
      </rPr>
      <t xml:space="preserve">7</t>
    </r>
    <r>
      <rPr>
        <i val="true"/>
        <sz val="9"/>
        <color rgb="FF888888"/>
        <rFont val="DejaVu Sans"/>
        <family val="2"/>
      </rPr>
      <t xml:space="preserve">个月推出</t>
    </r>
    <r>
      <rPr>
        <i val="true"/>
        <sz val="9"/>
        <color rgb="FF888888"/>
        <rFont val="Arial"/>
        <family val="0"/>
        <charset val="1"/>
      </rPr>
      <t xml:space="preserve">Pro</t>
    </r>
    <r>
      <rPr>
        <i val="true"/>
        <sz val="9"/>
        <color rgb="FF888888"/>
        <rFont val="DejaVu Sans"/>
        <family val="2"/>
      </rPr>
      <t xml:space="preserve">订阅</t>
    </r>
  </si>
  <si>
    <r>
      <rPr>
        <sz val="10"/>
        <color rgb="FF333333"/>
        <rFont val="Arial"/>
        <family val="0"/>
        <charset val="1"/>
      </rPr>
      <t xml:space="preserve">── Enterprise</t>
    </r>
    <r>
      <rPr>
        <sz val="10"/>
        <color rgb="FF333333"/>
        <rFont val="DejaVu Sans"/>
        <family val="2"/>
      </rPr>
      <t xml:space="preserve">客户数</t>
    </r>
    <r>
      <rPr>
        <sz val="10"/>
        <color rgb="FF333333"/>
        <rFont val="Arial"/>
        <family val="0"/>
        <charset val="1"/>
      </rPr>
      <t xml:space="preserve">(Year2</t>
    </r>
    <r>
      <rPr>
        <sz val="10"/>
        <color rgb="FF333333"/>
        <rFont val="DejaVu Sans"/>
        <family val="2"/>
      </rPr>
      <t xml:space="preserve">起</t>
    </r>
    <r>
      <rPr>
        <sz val="10"/>
        <color rgb="FF333333"/>
        <rFont val="Arial"/>
        <family val="0"/>
        <charset val="1"/>
      </rPr>
      <t xml:space="preserve">)</t>
    </r>
  </si>
  <si>
    <r>
      <rPr>
        <i val="true"/>
        <sz val="9"/>
        <color rgb="FF888888"/>
        <rFont val="DejaVu Sans"/>
        <family val="2"/>
      </rPr>
      <t xml:space="preserve">保守估算，依靠口碑</t>
    </r>
    <r>
      <rPr>
        <i val="true"/>
        <sz val="9"/>
        <color rgb="FF888888"/>
        <rFont val="Arial"/>
        <family val="0"/>
        <charset val="1"/>
      </rPr>
      <t xml:space="preserve">/BD</t>
    </r>
  </si>
  <si>
    <t xml:space="preserve">个</t>
  </si>
  <si>
    <r>
      <rPr>
        <sz val="10"/>
        <color rgb="FF333333"/>
        <rFont val="Arial"/>
        <family val="0"/>
        <charset val="1"/>
      </rPr>
      <t xml:space="preserve">── Enterprise</t>
    </r>
    <r>
      <rPr>
        <sz val="10"/>
        <color rgb="FF333333"/>
        <rFont val="DejaVu Sans"/>
        <family val="2"/>
      </rPr>
      <t xml:space="preserve">月均定价</t>
    </r>
  </si>
  <si>
    <r>
      <rPr>
        <i val="true"/>
        <sz val="9"/>
        <color rgb="FF888888"/>
        <rFont val="Arial"/>
        <family val="0"/>
        <charset val="1"/>
      </rPr>
      <t xml:space="preserve">$199/</t>
    </r>
    <r>
      <rPr>
        <i val="true"/>
        <sz val="9"/>
        <color rgb="FF888888"/>
        <rFont val="DejaVu Sans"/>
        <family val="2"/>
      </rPr>
      <t xml:space="preserve">月</t>
    </r>
    <r>
      <rPr>
        <i val="true"/>
        <sz val="9"/>
        <color rgb="FF888888"/>
        <rFont val="Arial"/>
        <family val="0"/>
        <charset val="1"/>
      </rPr>
      <t xml:space="preserve">/</t>
    </r>
    <r>
      <rPr>
        <i val="true"/>
        <sz val="9"/>
        <color rgb="FF888888"/>
        <rFont val="DejaVu Sans"/>
        <family val="2"/>
      </rPr>
      <t xml:space="preserve">企业，可协商上调</t>
    </r>
  </si>
  <si>
    <r>
      <rPr>
        <sz val="10"/>
        <color rgb="FF333333"/>
        <rFont val="Arial"/>
        <family val="0"/>
        <charset val="1"/>
      </rPr>
      <t xml:space="preserve">── Enterprise</t>
    </r>
    <r>
      <rPr>
        <sz val="10"/>
        <color rgb="FF333333"/>
        <rFont val="DejaVu Sans"/>
        <family val="2"/>
      </rPr>
      <t xml:space="preserve">启动月份</t>
    </r>
  </si>
  <si>
    <r>
      <rPr>
        <i val="true"/>
        <sz val="9"/>
        <color rgb="FF888888"/>
        <rFont val="DejaVu Sans"/>
        <family val="2"/>
      </rPr>
      <t xml:space="preserve">第</t>
    </r>
    <r>
      <rPr>
        <i val="true"/>
        <sz val="9"/>
        <color rgb="FF888888"/>
        <rFont val="Arial"/>
        <family val="0"/>
        <charset val="1"/>
      </rPr>
      <t xml:space="preserve">13</t>
    </r>
    <r>
      <rPr>
        <i val="true"/>
        <sz val="9"/>
        <color rgb="FF888888"/>
        <rFont val="DejaVu Sans"/>
        <family val="2"/>
      </rPr>
      <t xml:space="preserve">个月开始</t>
    </r>
    <r>
      <rPr>
        <i val="true"/>
        <sz val="9"/>
        <color rgb="FF888888"/>
        <rFont val="Arial"/>
        <family val="0"/>
        <charset val="1"/>
      </rPr>
      <t xml:space="preserve">Enterprise</t>
    </r>
    <r>
      <rPr>
        <i val="true"/>
        <sz val="9"/>
        <color rgb="FF888888"/>
        <rFont val="DejaVu Sans"/>
        <family val="2"/>
      </rPr>
      <t xml:space="preserve">收入</t>
    </r>
  </si>
  <si>
    <t xml:space="preserve">── 数据报告单价</t>
  </si>
  <si>
    <r>
      <rPr>
        <i val="true"/>
        <sz val="9"/>
        <color rgb="FF888888"/>
        <rFont val="Arial"/>
        <family val="0"/>
        <charset val="1"/>
      </rPr>
      <t xml:space="preserve">$99/</t>
    </r>
    <r>
      <rPr>
        <i val="true"/>
        <sz val="9"/>
        <color rgb="FF888888"/>
        <rFont val="DejaVu Sans"/>
        <family val="2"/>
      </rPr>
      <t xml:space="preserve">份，季度发布</t>
    </r>
  </si>
  <si>
    <r>
      <rPr>
        <sz val="10"/>
        <color rgb="FF333333"/>
        <rFont val="DejaVu Sans"/>
        <family val="2"/>
      </rPr>
      <t xml:space="preserve">── 数据报告销量</t>
    </r>
    <r>
      <rPr>
        <sz val="10"/>
        <color rgb="FF333333"/>
        <rFont val="Arial"/>
        <family val="0"/>
        <charset val="1"/>
      </rPr>
      <t xml:space="preserve">(Year2)</t>
    </r>
  </si>
  <si>
    <r>
      <rPr>
        <i val="true"/>
        <sz val="9"/>
        <color rgb="FF888888"/>
        <rFont val="DejaVu Sans"/>
        <family val="2"/>
      </rPr>
      <t xml:space="preserve">保守：每季度</t>
    </r>
    <r>
      <rPr>
        <i val="true"/>
        <sz val="9"/>
        <color rgb="FF888888"/>
        <rFont val="Arial"/>
        <family val="0"/>
        <charset val="1"/>
      </rPr>
      <t xml:space="preserve">5</t>
    </r>
    <r>
      <rPr>
        <i val="true"/>
        <sz val="9"/>
        <color rgb="FF888888"/>
        <rFont val="DejaVu Sans"/>
        <family val="2"/>
      </rPr>
      <t xml:space="preserve">份，全年</t>
    </r>
    <r>
      <rPr>
        <i val="true"/>
        <sz val="9"/>
        <color rgb="FF888888"/>
        <rFont val="Arial"/>
        <family val="0"/>
        <charset val="1"/>
      </rPr>
      <t xml:space="preserve">20</t>
    </r>
    <r>
      <rPr>
        <i val="true"/>
        <sz val="9"/>
        <color rgb="FF888888"/>
        <rFont val="DejaVu Sans"/>
        <family val="2"/>
      </rPr>
      <t xml:space="preserve">份</t>
    </r>
  </si>
  <si>
    <r>
      <rPr>
        <sz val="10"/>
        <color rgb="FF333333"/>
        <rFont val="DejaVu Sans"/>
        <family val="2"/>
      </rPr>
      <t xml:space="preserve">份</t>
    </r>
    <r>
      <rPr>
        <sz val="10"/>
        <color rgb="FF333333"/>
        <rFont val="Arial"/>
        <family val="0"/>
        <charset val="1"/>
      </rPr>
      <t xml:space="preserve">/</t>
    </r>
    <r>
      <rPr>
        <sz val="10"/>
        <color rgb="FF333333"/>
        <rFont val="DejaVu Sans"/>
        <family val="2"/>
      </rPr>
      <t xml:space="preserve">年</t>
    </r>
  </si>
  <si>
    <r>
      <rPr>
        <b val="true"/>
        <sz val="14"/>
        <color rgb="FF1A1A2E"/>
        <rFont val="Arial"/>
        <family val="0"/>
        <charset val="1"/>
      </rPr>
      <t xml:space="preserve">WeeklyAI — 24</t>
    </r>
    <r>
      <rPr>
        <b val="true"/>
        <sz val="14"/>
        <color rgb="FF1A1A2E"/>
        <rFont val="DejaVu Sans"/>
        <family val="2"/>
      </rPr>
      <t xml:space="preserve">个月收益预测模型（</t>
    </r>
    <r>
      <rPr>
        <b val="true"/>
        <sz val="14"/>
        <color rgb="FF1A1A2E"/>
        <rFont val="Arial"/>
        <family val="0"/>
        <charset val="1"/>
      </rPr>
      <t xml:space="preserve">Base Case</t>
    </r>
    <r>
      <rPr>
        <b val="true"/>
        <sz val="14"/>
        <color rgb="FF1A1A2E"/>
        <rFont val="DejaVu Sans"/>
        <family val="2"/>
      </rPr>
      <t xml:space="preserve">）</t>
    </r>
  </si>
  <si>
    <r>
      <rPr>
        <i val="true"/>
        <sz val="9"/>
        <color rgb="FF888888"/>
        <rFont val="DejaVu Sans"/>
        <family val="2"/>
      </rPr>
      <t xml:space="preserve">黑色</t>
    </r>
    <r>
      <rPr>
        <i val="true"/>
        <sz val="9"/>
        <color rgb="FF888888"/>
        <rFont val="Arial"/>
        <family val="0"/>
        <charset val="1"/>
      </rPr>
      <t xml:space="preserve">=</t>
    </r>
    <r>
      <rPr>
        <i val="true"/>
        <sz val="9"/>
        <color rgb="FF888888"/>
        <rFont val="DejaVu Sans"/>
        <family val="2"/>
      </rPr>
      <t xml:space="preserve">公式  蓝色</t>
    </r>
    <r>
      <rPr>
        <i val="true"/>
        <sz val="9"/>
        <color rgb="FF888888"/>
        <rFont val="Arial"/>
        <family val="0"/>
        <charset val="1"/>
      </rPr>
      <t xml:space="preserve">=</t>
    </r>
    <r>
      <rPr>
        <i val="true"/>
        <sz val="9"/>
        <color rgb="FF888888"/>
        <rFont val="DejaVu Sans"/>
        <family val="2"/>
      </rPr>
      <t xml:space="preserve">假设输入  </t>
    </r>
    <r>
      <rPr>
        <i val="true"/>
        <sz val="9"/>
        <color rgb="FF888888"/>
        <rFont val="Arial"/>
        <family val="0"/>
        <charset val="1"/>
      </rPr>
      <t xml:space="preserve">| </t>
    </r>
    <r>
      <rPr>
        <i val="true"/>
        <sz val="9"/>
        <color rgb="FF888888"/>
        <rFont val="DejaVu Sans"/>
        <family val="2"/>
      </rPr>
      <t xml:space="preserve">修改</t>
    </r>
    <r>
      <rPr>
        <i val="true"/>
        <sz val="9"/>
        <color rgb="FF888888"/>
        <rFont val="Arial"/>
        <family val="0"/>
        <charset val="1"/>
      </rPr>
      <t xml:space="preserve">Assumptions sheet</t>
    </r>
    <r>
      <rPr>
        <i val="true"/>
        <sz val="9"/>
        <color rgb="FF888888"/>
        <rFont val="DejaVu Sans"/>
        <family val="2"/>
      </rPr>
      <t xml:space="preserve">调整参数</t>
    </r>
  </si>
  <si>
    <t xml:space="preserve">指标</t>
  </si>
  <si>
    <t xml:space="preserve">M1
(Y1)</t>
  </si>
  <si>
    <t xml:space="preserve">M2
(Y1)</t>
  </si>
  <si>
    <t xml:space="preserve">M3
(Y1)</t>
  </si>
  <si>
    <t xml:space="preserve">M4
(Y1)</t>
  </si>
  <si>
    <t xml:space="preserve">M5
(Y1)</t>
  </si>
  <si>
    <t xml:space="preserve">M6
(Y1)</t>
  </si>
  <si>
    <t xml:space="preserve">M7
(Y1)</t>
  </si>
  <si>
    <t xml:space="preserve">M8
(Y1)</t>
  </si>
  <si>
    <t xml:space="preserve">M9
(Y1)</t>
  </si>
  <si>
    <t xml:space="preserve">M10
(Y1)</t>
  </si>
  <si>
    <t xml:space="preserve">M11
(Y1)</t>
  </si>
  <si>
    <t xml:space="preserve">M12
(Y1)</t>
  </si>
  <si>
    <t xml:space="preserve">M13
(Y2)</t>
  </si>
  <si>
    <t xml:space="preserve">M14
(Y2)</t>
  </si>
  <si>
    <t xml:space="preserve">M15
(Y2)</t>
  </si>
  <si>
    <t xml:space="preserve">M16
(Y2)</t>
  </si>
  <si>
    <t xml:space="preserve">M17
(Y2)</t>
  </si>
  <si>
    <t xml:space="preserve">M18
(Y2)</t>
  </si>
  <si>
    <t xml:space="preserve">M19
(Y2)</t>
  </si>
  <si>
    <t xml:space="preserve">M20
(Y2)</t>
  </si>
  <si>
    <t xml:space="preserve">M21
(Y2)</t>
  </si>
  <si>
    <t xml:space="preserve">M22
(Y2)</t>
  </si>
  <si>
    <t xml:space="preserve">M23
(Y2)</t>
  </si>
  <si>
    <t xml:space="preserve">M24
(Y2)</t>
  </si>
  <si>
    <r>
      <rPr>
        <b val="true"/>
        <sz val="11"/>
        <color rgb="FFFFFFFF"/>
        <rFont val="DejaVu Sans"/>
        <family val="2"/>
      </rPr>
      <t xml:space="preserve">  用户增长 </t>
    </r>
    <r>
      <rPr>
        <b val="true"/>
        <sz val="11"/>
        <color rgb="FFFFFFFF"/>
        <rFont val="Arial"/>
        <family val="0"/>
        <charset val="1"/>
      </rPr>
      <t xml:space="preserve">(User Growth)</t>
    </r>
  </si>
  <si>
    <t xml:space="preserve">免费邮件订阅人数</t>
  </si>
  <si>
    <r>
      <rPr>
        <sz val="10"/>
        <color rgb="FF333333"/>
        <rFont val="DejaVu Sans"/>
        <family val="2"/>
      </rPr>
      <t xml:space="preserve">月活用户 </t>
    </r>
    <r>
      <rPr>
        <sz val="10"/>
        <color rgb="FF333333"/>
        <rFont val="Arial"/>
        <family val="0"/>
        <charset val="1"/>
      </rPr>
      <t xml:space="preserve">MAU (</t>
    </r>
    <r>
      <rPr>
        <sz val="10"/>
        <color rgb="FF333333"/>
        <rFont val="DejaVu Sans"/>
        <family val="2"/>
      </rPr>
      <t xml:space="preserve">估算</t>
    </r>
    <r>
      <rPr>
        <sz val="10"/>
        <color rgb="FF333333"/>
        <rFont val="Arial"/>
        <family val="0"/>
        <charset val="1"/>
      </rPr>
      <t xml:space="preserve">)</t>
    </r>
  </si>
  <si>
    <r>
      <rPr>
        <sz val="10"/>
        <color rgb="FF333333"/>
        <rFont val="DejaVu Sans"/>
        <family val="2"/>
      </rPr>
      <t xml:space="preserve">付费</t>
    </r>
    <r>
      <rPr>
        <sz val="10"/>
        <color rgb="FF333333"/>
        <rFont val="Arial"/>
        <family val="0"/>
        <charset val="1"/>
      </rPr>
      <t xml:space="preserve">Newsletter</t>
    </r>
    <r>
      <rPr>
        <sz val="10"/>
        <color rgb="FF333333"/>
        <rFont val="DejaVu Sans"/>
        <family val="2"/>
      </rPr>
      <t xml:space="preserve">订阅人数</t>
    </r>
  </si>
  <si>
    <r>
      <rPr>
        <sz val="10"/>
        <color rgb="FF333333"/>
        <rFont val="DejaVu Sans"/>
        <family val="2"/>
      </rPr>
      <t xml:space="preserve">竞品情报 </t>
    </r>
    <r>
      <rPr>
        <sz val="10"/>
        <color rgb="FF333333"/>
        <rFont val="Arial"/>
        <family val="0"/>
        <charset val="1"/>
      </rPr>
      <t xml:space="preserve">Pro </t>
    </r>
    <r>
      <rPr>
        <sz val="10"/>
        <color rgb="FF333333"/>
        <rFont val="DejaVu Sans"/>
        <family val="2"/>
      </rPr>
      <t xml:space="preserve">订阅人数</t>
    </r>
  </si>
  <si>
    <r>
      <rPr>
        <sz val="10"/>
        <color rgb="FF333333"/>
        <rFont val="Arial"/>
        <family val="0"/>
        <charset val="1"/>
      </rPr>
      <t xml:space="preserve">Enterprise </t>
    </r>
    <r>
      <rPr>
        <sz val="10"/>
        <color rgb="FF333333"/>
        <rFont val="DejaVu Sans"/>
        <family val="2"/>
      </rPr>
      <t xml:space="preserve">客户数</t>
    </r>
  </si>
  <si>
    <t xml:space="preserve">0</t>
  </si>
  <si>
    <r>
      <rPr>
        <b val="true"/>
        <sz val="11"/>
        <color rgb="FFFFFFFF"/>
        <rFont val="DejaVu Sans"/>
        <family val="2"/>
      </rPr>
      <t xml:space="preserve">  收入 </t>
    </r>
    <r>
      <rPr>
        <b val="true"/>
        <sz val="11"/>
        <color rgb="FFFFFFFF"/>
        <rFont val="Arial"/>
        <family val="0"/>
        <charset val="1"/>
      </rPr>
      <t xml:space="preserve">Revenue ($)</t>
    </r>
  </si>
  <si>
    <r>
      <rPr>
        <sz val="10"/>
        <color rgb="FF333333"/>
        <rFont val="Arial"/>
        <family val="0"/>
        <charset val="1"/>
      </rPr>
      <t xml:space="preserve">  Newsletter </t>
    </r>
    <r>
      <rPr>
        <sz val="10"/>
        <color rgb="FF333333"/>
        <rFont val="DejaVu Sans"/>
        <family val="2"/>
      </rPr>
      <t xml:space="preserve">付费收入</t>
    </r>
  </si>
  <si>
    <r>
      <rPr>
        <sz val="10"/>
        <color rgb="FF333333"/>
        <rFont val="DejaVu Sans"/>
        <family val="2"/>
      </rPr>
      <t xml:space="preserve">  竞品情报 </t>
    </r>
    <r>
      <rPr>
        <sz val="10"/>
        <color rgb="FF333333"/>
        <rFont val="Arial"/>
        <family val="0"/>
        <charset val="1"/>
      </rPr>
      <t xml:space="preserve">Pro </t>
    </r>
    <r>
      <rPr>
        <sz val="10"/>
        <color rgb="FF333333"/>
        <rFont val="DejaVu Sans"/>
        <family val="2"/>
      </rPr>
      <t xml:space="preserve">收入</t>
    </r>
  </si>
  <si>
    <r>
      <rPr>
        <sz val="10"/>
        <color rgb="FF333333"/>
        <rFont val="Arial"/>
        <family val="0"/>
        <charset val="1"/>
      </rPr>
      <t xml:space="preserve">  Enterprise </t>
    </r>
    <r>
      <rPr>
        <sz val="10"/>
        <color rgb="FF333333"/>
        <rFont val="DejaVu Sans"/>
        <family val="2"/>
      </rPr>
      <t xml:space="preserve">订阅收入</t>
    </r>
  </si>
  <si>
    <t xml:space="preserve">  数据报告收入</t>
  </si>
  <si>
    <r>
      <rPr>
        <b val="true"/>
        <sz val="10"/>
        <color rgb="FF000000"/>
        <rFont val="DejaVu Sans"/>
        <family val="2"/>
      </rPr>
      <t xml:space="preserve">总月度收入 </t>
    </r>
    <r>
      <rPr>
        <b val="true"/>
        <sz val="10"/>
        <color rgb="FF000000"/>
        <rFont val="Arial"/>
        <family val="0"/>
        <charset val="1"/>
      </rPr>
      <t xml:space="preserve">Total Revenue</t>
    </r>
  </si>
  <si>
    <r>
      <rPr>
        <b val="true"/>
        <sz val="11"/>
        <color rgb="FFFFFFFF"/>
        <rFont val="DejaVu Sans"/>
        <family val="2"/>
      </rPr>
      <t xml:space="preserve">  成本 </t>
    </r>
    <r>
      <rPr>
        <b val="true"/>
        <sz val="11"/>
        <color rgb="FFFFFFFF"/>
        <rFont val="Arial"/>
        <family val="0"/>
        <charset val="1"/>
      </rPr>
      <t xml:space="preserve">Costs ($)</t>
    </r>
  </si>
  <si>
    <t xml:space="preserve">  月度基础设施成本</t>
  </si>
  <si>
    <r>
      <rPr>
        <sz val="10"/>
        <color rgb="FF333333"/>
        <rFont val="Arial"/>
        <family val="0"/>
        <charset val="1"/>
      </rPr>
      <t xml:space="preserve">  Claude API</t>
    </r>
    <r>
      <rPr>
        <sz val="10"/>
        <color rgb="FF333333"/>
        <rFont val="DejaVu Sans"/>
        <family val="2"/>
      </rPr>
      <t xml:space="preserve">增量成本</t>
    </r>
    <r>
      <rPr>
        <sz val="10"/>
        <color rgb="FF333333"/>
        <rFont val="Arial"/>
        <family val="0"/>
        <charset val="1"/>
      </rPr>
      <t xml:space="preserve">(Digest)</t>
    </r>
  </si>
  <si>
    <r>
      <rPr>
        <b val="true"/>
        <sz val="10"/>
        <color rgb="FF000000"/>
        <rFont val="DejaVu Sans"/>
        <family val="2"/>
      </rPr>
      <t xml:space="preserve">总月度成本 </t>
    </r>
    <r>
      <rPr>
        <b val="true"/>
        <sz val="10"/>
        <color rgb="FF000000"/>
        <rFont val="Arial"/>
        <family val="0"/>
        <charset val="1"/>
      </rPr>
      <t xml:space="preserve">Total Cost</t>
    </r>
  </si>
  <si>
    <r>
      <rPr>
        <b val="true"/>
        <sz val="11"/>
        <color rgb="FFFFFFFF"/>
        <rFont val="DejaVu Sans"/>
        <family val="2"/>
      </rPr>
      <t xml:space="preserve">  损益 </t>
    </r>
    <r>
      <rPr>
        <b val="true"/>
        <sz val="11"/>
        <color rgb="FFFFFFFF"/>
        <rFont val="Arial"/>
        <family val="0"/>
        <charset val="1"/>
      </rPr>
      <t xml:space="preserve">P&amp;L ($)</t>
    </r>
  </si>
  <si>
    <r>
      <rPr>
        <b val="true"/>
        <sz val="10"/>
        <color rgb="FF000000"/>
        <rFont val="DejaVu Sans"/>
        <family val="2"/>
      </rPr>
      <t xml:space="preserve">月度净利润 </t>
    </r>
    <r>
      <rPr>
        <b val="true"/>
        <sz val="10"/>
        <color rgb="FF000000"/>
        <rFont val="Arial"/>
        <family val="0"/>
        <charset val="1"/>
      </rPr>
      <t xml:space="preserve">Monthly P&amp;L</t>
    </r>
  </si>
  <si>
    <r>
      <rPr>
        <b val="true"/>
        <sz val="10"/>
        <color rgb="FF000000"/>
        <rFont val="DejaVu Sans"/>
        <family val="2"/>
      </rPr>
      <t xml:space="preserve">累计</t>
    </r>
    <r>
      <rPr>
        <b val="true"/>
        <sz val="10"/>
        <color rgb="FF000000"/>
        <rFont val="Arial"/>
        <family val="0"/>
        <charset val="1"/>
      </rPr>
      <t xml:space="preserve">P&amp;L (</t>
    </r>
    <r>
      <rPr>
        <b val="true"/>
        <sz val="10"/>
        <color rgb="FF000000"/>
        <rFont val="DejaVu Sans"/>
        <family val="2"/>
      </rPr>
      <t xml:space="preserve">含开发成本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</si>
  <si>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sz val="10"/>
        <color rgb="FF333333"/>
        <rFont val="Arial"/>
        <family val="0"/>
        <charset val="1"/>
      </rPr>
      <t xml:space="preserve">MRR </t>
    </r>
    <r>
      <rPr>
        <sz val="10"/>
        <color rgb="FF333333"/>
        <rFont val="DejaVu Sans"/>
        <family val="2"/>
      </rPr>
      <t xml:space="preserve">环比增长率</t>
    </r>
  </si>
  <si>
    <t xml:space="preserve">-</t>
  </si>
  <si>
    <r>
      <rPr>
        <b val="true"/>
        <sz val="14"/>
        <color rgb="FF1A1A2E"/>
        <rFont val="Arial"/>
        <family val="0"/>
        <charset val="1"/>
      </rPr>
      <t xml:space="preserve">WeeklyAI — </t>
    </r>
    <r>
      <rPr>
        <b val="true"/>
        <sz val="14"/>
        <color rgb="FF1A1A2E"/>
        <rFont val="DejaVu Sans"/>
        <family val="2"/>
      </rPr>
      <t xml:space="preserve">三种情景对比 </t>
    </r>
    <r>
      <rPr>
        <b val="true"/>
        <sz val="14"/>
        <color rgb="FF1A1A2E"/>
        <rFont val="Arial"/>
        <family val="0"/>
        <charset val="1"/>
      </rPr>
      <t xml:space="preserve">(Conservative / Base / Optimistic)</t>
    </r>
  </si>
  <si>
    <r>
      <rPr>
        <i val="true"/>
        <sz val="9"/>
        <color rgb="FF888888"/>
        <rFont val="DejaVu Sans"/>
        <family val="2"/>
      </rPr>
      <t xml:space="preserve">所有数值单位 </t>
    </r>
    <r>
      <rPr>
        <i val="true"/>
        <sz val="9"/>
        <color rgb="FF888888"/>
        <rFont val="Arial"/>
        <family val="0"/>
        <charset val="1"/>
      </rPr>
      <t xml:space="preserve">$USD</t>
    </r>
    <r>
      <rPr>
        <i val="true"/>
        <sz val="9"/>
        <color rgb="FF888888"/>
        <rFont val="DejaVu Sans"/>
        <family val="2"/>
      </rPr>
      <t xml:space="preserve">，</t>
    </r>
    <r>
      <rPr>
        <i val="true"/>
        <sz val="9"/>
        <color rgb="FF888888"/>
        <rFont val="Arial"/>
        <family val="0"/>
        <charset val="1"/>
      </rPr>
      <t xml:space="preserve">Base Case</t>
    </r>
    <r>
      <rPr>
        <i val="true"/>
        <sz val="9"/>
        <color rgb="FF888888"/>
        <rFont val="DejaVu Sans"/>
        <family val="2"/>
      </rPr>
      <t xml:space="preserve">与</t>
    </r>
    <r>
      <rPr>
        <i val="true"/>
        <sz val="9"/>
        <color rgb="FF888888"/>
        <rFont val="Arial"/>
        <family val="0"/>
        <charset val="1"/>
      </rPr>
      <t xml:space="preserve">Monthly Model</t>
    </r>
    <r>
      <rPr>
        <i val="true"/>
        <sz val="9"/>
        <color rgb="FF888888"/>
        <rFont val="DejaVu Sans"/>
        <family val="2"/>
      </rPr>
      <t xml:space="preserve">联动</t>
    </r>
  </si>
  <si>
    <r>
      <rPr>
        <b val="true"/>
        <sz val="10"/>
        <color rgb="FFFFFFFF"/>
        <rFont val="DejaVu Sans"/>
        <family val="2"/>
      </rPr>
      <t xml:space="preserve">悲观</t>
    </r>
    <r>
      <rPr>
        <b val="true"/>
        <sz val="10"/>
        <color rgb="FFFFFFFF"/>
        <rFont val="Arial"/>
        <family val="0"/>
        <charset val="1"/>
      </rPr>
      <t xml:space="preserve">-M6</t>
    </r>
  </si>
  <si>
    <r>
      <rPr>
        <b val="true"/>
        <sz val="10"/>
        <color rgb="FFFFFFFF"/>
        <rFont val="DejaVu Sans"/>
        <family val="2"/>
      </rPr>
      <t xml:space="preserve">悲观</t>
    </r>
    <r>
      <rPr>
        <b val="true"/>
        <sz val="10"/>
        <color rgb="FFFFFFFF"/>
        <rFont val="Arial"/>
        <family val="0"/>
        <charset val="1"/>
      </rPr>
      <t xml:space="preserve">-M12</t>
    </r>
  </si>
  <si>
    <r>
      <rPr>
        <b val="true"/>
        <sz val="10"/>
        <color rgb="FFFFFFFF"/>
        <rFont val="DejaVu Sans"/>
        <family val="2"/>
      </rPr>
      <t xml:space="preserve">悲观</t>
    </r>
    <r>
      <rPr>
        <b val="true"/>
        <sz val="10"/>
        <color rgb="FFFFFFFF"/>
        <rFont val="Arial"/>
        <family val="0"/>
        <charset val="1"/>
      </rPr>
      <t xml:space="preserve">-M24</t>
    </r>
  </si>
  <si>
    <t xml:space="preserve">Base-M6</t>
  </si>
  <si>
    <t xml:space="preserve">Base-M12</t>
  </si>
  <si>
    <t xml:space="preserve">Base-M24</t>
  </si>
  <si>
    <r>
      <rPr>
        <b val="true"/>
        <sz val="10"/>
        <color rgb="FFFFFFFF"/>
        <rFont val="DejaVu Sans"/>
        <family val="2"/>
      </rPr>
      <t xml:space="preserve">乐观</t>
    </r>
    <r>
      <rPr>
        <b val="true"/>
        <sz val="10"/>
        <color rgb="FFFFFFFF"/>
        <rFont val="Arial"/>
        <family val="0"/>
        <charset val="1"/>
      </rPr>
      <t xml:space="preserve">-M6</t>
    </r>
  </si>
  <si>
    <r>
      <rPr>
        <b val="true"/>
        <sz val="10"/>
        <color rgb="FFFFFFFF"/>
        <rFont val="DejaVu Sans"/>
        <family val="2"/>
      </rPr>
      <t xml:space="preserve">乐观</t>
    </r>
    <r>
      <rPr>
        <b val="true"/>
        <sz val="10"/>
        <color rgb="FFFFFFFF"/>
        <rFont val="Arial"/>
        <family val="0"/>
        <charset val="1"/>
      </rPr>
      <t xml:space="preserve">-M12</t>
    </r>
  </si>
  <si>
    <r>
      <rPr>
        <b val="true"/>
        <sz val="10"/>
        <color rgb="FFFFFFFF"/>
        <rFont val="DejaVu Sans"/>
        <family val="2"/>
      </rPr>
      <t xml:space="preserve">乐观</t>
    </r>
    <r>
      <rPr>
        <b val="true"/>
        <sz val="10"/>
        <color rgb="FFFFFFFF"/>
        <rFont val="Arial"/>
        <family val="0"/>
        <charset val="1"/>
      </rPr>
      <t xml:space="preserve">-M24</t>
    </r>
  </si>
  <si>
    <t xml:space="preserve">免费订阅人数</t>
  </si>
  <si>
    <t xml:space="preserve">MAU</t>
  </si>
  <si>
    <r>
      <rPr>
        <sz val="10"/>
        <color rgb="FF333333"/>
        <rFont val="Arial"/>
        <family val="0"/>
        <charset val="1"/>
      </rPr>
      <t xml:space="preserve">Pro </t>
    </r>
    <r>
      <rPr>
        <sz val="10"/>
        <color rgb="FF333333"/>
        <rFont val="DejaVu Sans"/>
        <family val="2"/>
      </rPr>
      <t xml:space="preserve">订阅人数</t>
    </r>
  </si>
  <si>
    <r>
      <rPr>
        <sz val="10"/>
        <color rgb="FF333333"/>
        <rFont val="DejaVu Sans"/>
        <family val="2"/>
      </rPr>
      <t xml:space="preserve">月度总收入 </t>
    </r>
    <r>
      <rPr>
        <sz val="10"/>
        <color rgb="FF333333"/>
        <rFont val="Arial"/>
        <family val="0"/>
        <charset val="1"/>
      </rPr>
      <t xml:space="preserve">MRR ($)</t>
    </r>
  </si>
  <si>
    <r>
      <rPr>
        <sz val="10"/>
        <color rgb="FF333333"/>
        <rFont val="DejaVu Sans"/>
        <family val="2"/>
      </rPr>
      <t xml:space="preserve">月度运营成本 </t>
    </r>
    <r>
      <rPr>
        <sz val="10"/>
        <color rgb="FF333333"/>
        <rFont val="Arial"/>
        <family val="0"/>
        <charset val="1"/>
      </rPr>
      <t xml:space="preserve">($)</t>
    </r>
  </si>
  <si>
    <r>
      <rPr>
        <sz val="10"/>
        <color rgb="FF333333"/>
        <rFont val="DejaVu Sans"/>
        <family val="2"/>
      </rPr>
      <t xml:space="preserve">月度净利润 </t>
    </r>
    <r>
      <rPr>
        <sz val="10"/>
        <color rgb="FF333333"/>
        <rFont val="Arial"/>
        <family val="0"/>
        <charset val="1"/>
      </rPr>
      <t xml:space="preserve">($)</t>
    </r>
  </si>
  <si>
    <r>
      <rPr>
        <b val="true"/>
        <sz val="11"/>
        <color rgb="FFFFFFFF"/>
        <rFont val="DejaVu Sans"/>
        <family val="2"/>
      </rPr>
      <t xml:space="preserve">  盈亏平衡分析 </t>
    </r>
    <r>
      <rPr>
        <b val="true"/>
        <sz val="11"/>
        <color rgb="FFFFFFFF"/>
        <rFont val="Arial"/>
        <family val="0"/>
        <charset val="1"/>
      </rPr>
      <t xml:space="preserve">Break-even Analysis</t>
    </r>
  </si>
  <si>
    <r>
      <rPr>
        <sz val="10"/>
        <color rgb="FF333333"/>
        <rFont val="DejaVu Sans"/>
        <family val="2"/>
      </rPr>
      <t xml:space="preserve">运营盈亏平衡月份 </t>
    </r>
    <r>
      <rPr>
        <sz val="10"/>
        <color rgb="FF333333"/>
        <rFont val="Arial"/>
        <family val="0"/>
        <charset val="1"/>
      </rPr>
      <t xml:space="preserve">(</t>
    </r>
    <r>
      <rPr>
        <sz val="10"/>
        <color rgb="FF333333"/>
        <rFont val="DejaVu Sans"/>
        <family val="2"/>
      </rPr>
      <t xml:space="preserve">不含开发成本</t>
    </r>
    <r>
      <rPr>
        <sz val="10"/>
        <color rgb="FF333333"/>
        <rFont val="Arial"/>
        <family val="0"/>
        <charset val="1"/>
      </rPr>
      <t xml:space="preserve">)</t>
    </r>
  </si>
  <si>
    <t xml:space="preserve">~M9</t>
  </si>
  <si>
    <t xml:space="preserve">~M7</t>
  </si>
  <si>
    <t xml:space="preserve">~M5</t>
  </si>
  <si>
    <r>
      <rPr>
        <sz val="10"/>
        <color rgb="FF333333"/>
        <rFont val="DejaVu Sans"/>
        <family val="2"/>
      </rPr>
      <t xml:space="preserve">完全盈亏平衡月份 </t>
    </r>
    <r>
      <rPr>
        <sz val="10"/>
        <color rgb="FF333333"/>
        <rFont val="Arial"/>
        <family val="0"/>
        <charset val="1"/>
      </rPr>
      <t xml:space="preserve">(</t>
    </r>
    <r>
      <rPr>
        <sz val="10"/>
        <color rgb="FF333333"/>
        <rFont val="DejaVu Sans"/>
        <family val="2"/>
      </rPr>
      <t xml:space="preserve">含开发成本</t>
    </r>
    <r>
      <rPr>
        <sz val="10"/>
        <color rgb="FF333333"/>
        <rFont val="Arial"/>
        <family val="0"/>
        <charset val="1"/>
      </rPr>
      <t xml:space="preserve">)</t>
    </r>
  </si>
  <si>
    <t xml:space="preserve">~M22</t>
  </si>
  <si>
    <t xml:space="preserve">~M14</t>
  </si>
  <si>
    <t xml:space="preserve">~M10</t>
  </si>
  <si>
    <r>
      <rPr>
        <sz val="10"/>
        <color rgb="FF333333"/>
        <rFont val="Arial"/>
        <family val="0"/>
        <charset val="1"/>
      </rPr>
      <t xml:space="preserve">Year 1 </t>
    </r>
    <r>
      <rPr>
        <sz val="10"/>
        <color rgb="FF333333"/>
        <rFont val="DejaVu Sans"/>
        <family val="2"/>
      </rPr>
      <t xml:space="preserve">累计亏损 </t>
    </r>
    <r>
      <rPr>
        <sz val="10"/>
        <color rgb="FF333333"/>
        <rFont val="Arial"/>
        <family val="0"/>
        <charset val="1"/>
      </rPr>
      <t xml:space="preserve">($)</t>
    </r>
  </si>
  <si>
    <t xml:space="preserve">$(15,000)</t>
  </si>
  <si>
    <t xml:space="preserve">$(8,500)</t>
  </si>
  <si>
    <t xml:space="preserve">$(3,200)</t>
  </si>
  <si>
    <r>
      <rPr>
        <sz val="10"/>
        <color rgb="FF333333"/>
        <rFont val="Arial"/>
        <family val="0"/>
        <charset val="1"/>
      </rPr>
      <t xml:space="preserve">Year 2 </t>
    </r>
    <r>
      <rPr>
        <sz val="10"/>
        <color rgb="FF333333"/>
        <rFont val="DejaVu Sans"/>
        <family val="2"/>
      </rPr>
      <t xml:space="preserve">年化收入 </t>
    </r>
    <r>
      <rPr>
        <sz val="10"/>
        <color rgb="FF333333"/>
        <rFont val="Arial"/>
        <family val="0"/>
        <charset val="1"/>
      </rPr>
      <t xml:space="preserve">ARR ($)</t>
    </r>
  </si>
  <si>
    <t xml:space="preserve">$18,000-25,000</t>
  </si>
  <si>
    <t xml:space="preserve">$45,000-60,000</t>
  </si>
  <si>
    <t xml:space="preserve">$90,000-120,000</t>
  </si>
  <si>
    <r>
      <rPr>
        <b val="true"/>
        <sz val="16"/>
        <color rgb="FFFFFFFF"/>
        <rFont val="Arial"/>
        <family val="0"/>
        <charset val="1"/>
      </rPr>
      <t xml:space="preserve">  WeeklyAI · </t>
    </r>
    <r>
      <rPr>
        <b val="true"/>
        <sz val="16"/>
        <color rgb="FFFFFFFF"/>
        <rFont val="DejaVu Sans"/>
        <family val="2"/>
      </rPr>
      <t xml:space="preserve">收益曲线图表</t>
    </r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</si>
</sst>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"/>
    <numFmt numFmtId="166" formatCode="#,##0"/>
    <numFmt numFmtId="167" formatCode="\$#,##0;&quot;($&quot;#,##0\);\-"/>
    <numFmt numFmtId="168" formatCode="#,##0;\(#,##0\);\-"/>
    <numFmt numFmtId="169" formatCode="0.0%"/>
    <numFmt numFmtId="170" formatCode="\$#,##0.00;&quot;($&quot;#,##0.00\);\-"/>
    <numFmt numFmtId="171" formatCode="0.0%;\(0.0%\);\-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18"/>
      <color rgb="FFFFFFFF"/>
      <name val="DejaVu Sans"/>
      <family val="2"/>
    </font>
    <font>
      <i val="true"/>
      <sz val="10"/>
      <color rgb="FFAAAAAA"/>
      <name val="Arial"/>
      <family val="0"/>
      <charset val="1"/>
    </font>
    <font>
      <i val="true"/>
      <sz val="10"/>
      <color rgb="FFAAAAAA"/>
      <name val="DejaVu Sans"/>
      <family val="2"/>
    </font>
    <font>
      <b val="true"/>
      <sz val="11"/>
      <color rgb="FFFFFFFF"/>
      <name val="DejaVu Sans"/>
      <family val="2"/>
    </font>
    <font>
      <b val="true"/>
      <sz val="11"/>
      <color rgb="FFFFFFFF"/>
      <name val="Arial"/>
      <family val="0"/>
      <charset val="1"/>
    </font>
    <font>
      <sz val="9"/>
      <color rgb="FF555555"/>
      <name val="Arial"/>
      <family val="0"/>
      <charset val="1"/>
    </font>
    <font>
      <sz val="9"/>
      <color rgb="FF555555"/>
      <name val="DejaVu Sans"/>
      <family val="2"/>
    </font>
    <font>
      <b val="true"/>
      <sz val="13"/>
      <color rgb="FF1A1A2E"/>
      <name val="Arial"/>
      <family val="0"/>
      <charset val="1"/>
    </font>
    <font>
      <sz val="10"/>
      <color rgb="FF333333"/>
      <name val="DejaVu Sans"/>
      <family val="2"/>
    </font>
    <font>
      <b val="true"/>
      <sz val="10"/>
      <color rgb="FFC0392B"/>
      <name val="Arial"/>
      <family val="0"/>
      <charset val="1"/>
    </font>
    <font>
      <i val="true"/>
      <sz val="9"/>
      <color rgb="FF888888"/>
      <name val="Arial"/>
      <family val="0"/>
      <charset val="1"/>
    </font>
    <font>
      <sz val="10"/>
      <color rgb="FF333333"/>
      <name val="Arial"/>
      <family val="0"/>
      <charset val="1"/>
    </font>
    <font>
      <i val="true"/>
      <sz val="9"/>
      <color rgb="FF888888"/>
      <name val="DejaVu Sans"/>
      <family val="2"/>
    </font>
    <font>
      <b val="true"/>
      <sz val="11"/>
      <color rgb="FF1A1A2E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1A1A2E"/>
      <name val="Arial"/>
      <family val="0"/>
      <charset val="1"/>
    </font>
    <font>
      <b val="true"/>
      <sz val="10"/>
      <color rgb="FF000000"/>
      <name val="DejaVu Sans"/>
      <family val="2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1A1A2E"/>
      <name val="DejaVu Sans"/>
      <family val="2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DejaVu Sans"/>
      <family val="2"/>
    </font>
    <font>
      <b val="true"/>
      <sz val="10"/>
      <color rgb="FFFFFFFF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6"/>
      <color rgb="FFFFFFFF"/>
      <name val="DejaVu Sans"/>
      <family val="2"/>
    </font>
    <font>
      <b val="true"/>
      <sz val="18"/>
      <color rgb="FF000000"/>
      <name val="DejaVu 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1A1A2E"/>
        <bgColor rgb="FF333333"/>
      </patternFill>
    </fill>
    <fill>
      <patternFill patternType="solid">
        <fgColor rgb="FF1A5276"/>
        <bgColor rgb="FF386C92"/>
      </patternFill>
    </fill>
    <fill>
      <patternFill patternType="solid">
        <fgColor rgb="FFFDEBD0"/>
        <bgColor rgb="FFFFFACD"/>
      </patternFill>
    </fill>
    <fill>
      <patternFill patternType="solid">
        <fgColor rgb="FFD6EAF8"/>
        <bgColor rgb="FFD5F5E3"/>
      </patternFill>
    </fill>
    <fill>
      <patternFill patternType="solid">
        <fgColor rgb="FFC0392B"/>
        <bgColor rgb="FFB14946"/>
      </patternFill>
    </fill>
    <fill>
      <patternFill patternType="solid">
        <fgColor rgb="FFFADBD8"/>
        <bgColor rgb="FFF9D3C9"/>
      </patternFill>
    </fill>
    <fill>
      <patternFill patternType="solid">
        <fgColor rgb="FFFFFFFF"/>
        <bgColor rgb="FFF5F6FA"/>
      </patternFill>
    </fill>
    <fill>
      <patternFill patternType="solid">
        <fgColor rgb="FF1E8449"/>
        <bgColor rgb="FF386C92"/>
      </patternFill>
    </fill>
    <fill>
      <patternFill patternType="solid">
        <fgColor rgb="FFD5F5E3"/>
        <bgColor rgb="FFD6EAF8"/>
      </patternFill>
    </fill>
    <fill>
      <patternFill patternType="solid">
        <fgColor rgb="FFE8DAEF"/>
        <bgColor rgb="FFD8D9E3"/>
      </patternFill>
    </fill>
    <fill>
      <patternFill patternType="solid">
        <fgColor rgb="FF6C3483"/>
        <bgColor rgb="FF614B7B"/>
      </patternFill>
    </fill>
    <fill>
      <patternFill patternType="solid">
        <fgColor rgb="FFF5F6FA"/>
        <bgColor rgb="FFFFFFFF"/>
      </patternFill>
    </fill>
    <fill>
      <patternFill patternType="solid">
        <fgColor rgb="FFFFFACD"/>
        <bgColor rgb="FFFDEBD0"/>
      </patternFill>
    </fill>
    <fill>
      <patternFill patternType="solid">
        <fgColor rgb="FF566573"/>
        <bgColor rgb="FF555555"/>
      </patternFill>
    </fill>
    <fill>
      <patternFill patternType="solid">
        <fgColor rgb="FFE67E22"/>
        <bgColor rgb="FFE2853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8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2" fillId="1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2" fillId="1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23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3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1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22" fillId="1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8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1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3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3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3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5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3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23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3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5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23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3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23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3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3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3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CCCC"/>
      <rgbColor rgb="FFAAC67E"/>
      <rgbColor rgb="FF0000FF"/>
      <rgbColor rgb="FFC5D6AC"/>
      <rgbColor rgb="FFE2C3C2"/>
      <rgbColor rgb="FFA0BCD5"/>
      <rgbColor rgb="FFBE7030"/>
      <rgbColor rgb="FF6F92C4"/>
      <rgbColor rgb="FFE8DAEF"/>
      <rgbColor rgb="FF768F41"/>
      <rgbColor rgb="FFC7706E"/>
      <rgbColor rgb="FF3487A8"/>
      <rgbColor rgb="FFBCB3CB"/>
      <rgbColor rgb="FF878787"/>
      <rgbColor rgb="FF999EC6"/>
      <rgbColor rgb="FF943B39"/>
      <rgbColor rgb="FFFFFACD"/>
      <rgbColor rgb="FFD6EAF8"/>
      <rgbColor rgb="FF614B7B"/>
      <rgbColor rgb="FFE2853B"/>
      <rgbColor rgb="FF566573"/>
      <rgbColor rgb="FFC3CDE1"/>
      <rgbColor rgb="FFFADBD8"/>
      <rgbColor rgb="FFCDC7D7"/>
      <rgbColor rgb="FFDAE5CB"/>
      <rgbColor rgb="FFC2DBE4"/>
      <rgbColor rgb="FF917DAC"/>
      <rgbColor rgb="FFF9D3C9"/>
      <rgbColor rgb="FF386C92"/>
      <rgbColor rgb="FFD8D9E3"/>
      <rgbColor rgb="FF6DB4CC"/>
      <rgbColor rgb="FFF5F6FA"/>
      <rgbColor rgb="FFD5F5E3"/>
      <rgbColor rgb="FFFDEBD0"/>
      <rgbColor rgb="FFA8CEDC"/>
      <rgbColor rgb="FFD6A2A1"/>
      <rgbColor rgb="FFABAAAE"/>
      <rgbColor rgb="FFF9C3A7"/>
      <rgbColor rgb="FF4978B1"/>
      <rgbColor rgb="FF439FB7"/>
      <rgbColor rgb="FF8EAC51"/>
      <rgbColor rgb="FFF8A774"/>
      <rgbColor rgb="FFF08F42"/>
      <rgbColor rgb="FFE67E22"/>
      <rgbColor rgb="FF795898"/>
      <rgbColor rgb="FF888888"/>
      <rgbColor rgb="FF1A5276"/>
      <rgbColor rgb="FF1E8449"/>
      <rgbColor rgb="FF555555"/>
      <rgbColor rgb="FF1A1A2E"/>
      <rgbColor rgb="FFC0392B"/>
      <rgbColor rgb="FFB14946"/>
      <rgbColor rgb="FF6C3483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月度总收入 MRR (Base Case)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"MRR"</c:f>
              <c:strCache>
                <c:ptCount val="1"/>
                <c:pt idx="0">
                  <c:v>MRR</c:v>
                </c:pt>
              </c:strCache>
            </c:strRef>
          </c:tx>
          <c:spPr>
            <a:solidFill>
              <a:srgbClr val="e67e22"/>
            </a:solidFill>
            <a:ln w="21960">
              <a:solidFill>
                <a:srgbClr val="e67e2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Model'!$B$16</c:f>
              <c:numCache>
                <c:formatCode>\$#,##0;"($"#,##0\);\-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953b38"/>
            </a:solidFill>
            <a:ln w="47520">
              <a:solidFill>
                <a:srgbClr val="953b3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Model'!$C$16</c:f>
              <c:numCache>
                <c:formatCode>\$#,##0;"($"#,##0\);\-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789142"/>
            </a:solidFill>
            <a:ln w="47520">
              <a:solidFill>
                <a:srgbClr val="78914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Model'!$D$16</c:f>
              <c:numCache>
                <c:formatCode>\$#,##0;"($"#,##0\);\-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624b7d"/>
            </a:solidFill>
            <a:ln w="47520">
              <a:solidFill>
                <a:srgbClr val="624b7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Model'!$E$16</c:f>
              <c:numCache>
                <c:formatCode>\$#,##0;"($"#,##0\);\-</c:formatCode>
                <c:ptCount val="1"/>
                <c:pt idx="0">
                  <c:v>99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37859a"/>
            </a:solidFill>
            <a:ln w="47520">
              <a:solidFill>
                <a:srgbClr val="37859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Model'!$F$16</c:f>
              <c:numCache>
                <c:formatCode>\$#,##0;"($"#,##0\);\-</c:formatCode>
                <c:ptCount val="1"/>
                <c:pt idx="0">
                  <c:v>108</c:v>
                </c:pt>
              </c:numCache>
            </c:numRef>
          </c:val>
          <c:smooth val="1"/>
        </c:ser>
        <c:ser>
          <c:idx val="5"/>
          <c:order val="5"/>
          <c:spPr>
            <a:solidFill>
              <a:srgbClr val="c07332"/>
            </a:solidFill>
            <a:ln w="47520">
              <a:solidFill>
                <a:srgbClr val="c0733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Model'!$G$16</c:f>
              <c:numCache>
                <c:formatCode>\$#,##0;"($"#,##0\);\-</c:formatCode>
                <c:ptCount val="1"/>
                <c:pt idx="0">
                  <c:v>126</c:v>
                </c:pt>
              </c:numCache>
            </c:numRef>
          </c:val>
          <c:smooth val="1"/>
        </c:ser>
        <c:ser>
          <c:idx val="6"/>
          <c:order val="6"/>
          <c:spPr>
            <a:solidFill>
              <a:srgbClr val="4475b0"/>
            </a:solidFill>
            <a:ln w="47520">
              <a:solidFill>
                <a:srgbClr val="4475b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Model'!$H$16</c:f>
              <c:numCache>
                <c:formatCode>\$#,##0;"($"#,##0\);\-</c:formatCode>
                <c:ptCount val="1"/>
                <c:pt idx="0">
                  <c:v>454</c:v>
                </c:pt>
              </c:numCache>
            </c:numRef>
          </c:val>
          <c:smooth val="1"/>
        </c:ser>
        <c:ser>
          <c:idx val="7"/>
          <c:order val="7"/>
          <c:spPr>
            <a:solidFill>
              <a:srgbClr val="b24543"/>
            </a:solidFill>
            <a:ln w="47520">
              <a:solidFill>
                <a:srgbClr val="b2454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Model'!$I$16</c:f>
              <c:numCache>
                <c:formatCode>\$#,##0;"($"#,##0\);\-</c:formatCode>
                <c:ptCount val="1"/>
                <c:pt idx="0">
                  <c:v>501</c:v>
                </c:pt>
              </c:numCache>
            </c:numRef>
          </c:val>
          <c:smooth val="1"/>
        </c:ser>
        <c:ser>
          <c:idx val="8"/>
          <c:order val="8"/>
          <c:spPr>
            <a:solidFill>
              <a:srgbClr val="8ead4f"/>
            </a:solidFill>
            <a:ln w="47520">
              <a:solidFill>
                <a:srgbClr val="8ead4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Model'!$J$16</c:f>
              <c:numCache>
                <c:formatCode>\$#,##0;"($"#,##0\);\-</c:formatCode>
                <c:ptCount val="1"/>
                <c:pt idx="0">
                  <c:v>548</c:v>
                </c:pt>
              </c:numCache>
            </c:numRef>
          </c:val>
          <c:smooth val="1"/>
        </c:ser>
        <c:ser>
          <c:idx val="9"/>
          <c:order val="9"/>
          <c:spPr>
            <a:solidFill>
              <a:srgbClr val="745994"/>
            </a:solidFill>
            <a:ln w="47520">
              <a:solidFill>
                <a:srgbClr val="74599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Model'!$K$16</c:f>
              <c:numCache>
                <c:formatCode>\$#,##0;"($"#,##0\);\-</c:formatCode>
                <c:ptCount val="1"/>
                <c:pt idx="0">
                  <c:v>586</c:v>
                </c:pt>
              </c:numCache>
            </c:numRef>
          </c:val>
          <c:smooth val="1"/>
        </c:ser>
        <c:ser>
          <c:idx val="10"/>
          <c:order val="10"/>
          <c:spPr>
            <a:solidFill>
              <a:srgbClr val="419fb7"/>
            </a:solidFill>
            <a:ln w="47520">
              <a:solidFill>
                <a:srgbClr val="419fb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Model'!$L$16</c:f>
              <c:numCache>
                <c:formatCode>\$#,##0;"($"#,##0\);\-</c:formatCode>
                <c:ptCount val="1"/>
                <c:pt idx="0">
                  <c:v>633</c:v>
                </c:pt>
              </c:numCache>
            </c:numRef>
          </c:val>
          <c:smooth val="1"/>
        </c:ser>
        <c:ser>
          <c:idx val="11"/>
          <c:order val="11"/>
          <c:spPr>
            <a:solidFill>
              <a:srgbClr val="e5883b"/>
            </a:solidFill>
            <a:ln w="47520">
              <a:solidFill>
                <a:srgbClr val="e5883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Model'!$M$16</c:f>
              <c:numCache>
                <c:formatCode>\$#,##0;"($"#,##0\);\-</c:formatCode>
                <c:ptCount val="1"/>
                <c:pt idx="0">
                  <c:v>689</c:v>
                </c:pt>
              </c:numCache>
            </c:numRef>
          </c:val>
          <c:smooth val="1"/>
        </c:ser>
        <c:ser>
          <c:idx val="12"/>
          <c:order val="12"/>
          <c:spPr>
            <a:solidFill>
              <a:srgbClr val="7997c4"/>
            </a:solidFill>
            <a:ln w="47520">
              <a:solidFill>
                <a:srgbClr val="7997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Model'!$N$16</c:f>
              <c:numCache>
                <c:formatCode>\$#,##0;"($"#,##0\);\-</c:formatCode>
                <c:ptCount val="1"/>
                <c:pt idx="0">
                  <c:v>1324</c:v>
                </c:pt>
              </c:numCache>
            </c:numRef>
          </c:val>
          <c:smooth val="1"/>
        </c:ser>
        <c:ser>
          <c:idx val="13"/>
          <c:order val="13"/>
          <c:spPr>
            <a:solidFill>
              <a:srgbClr val="c77978"/>
            </a:solidFill>
            <a:ln w="47520">
              <a:solidFill>
                <a:srgbClr val="c7797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Model'!$O$16</c:f>
              <c:numCache>
                <c:formatCode>\$#,##0;"($"#,##0\);\-</c:formatCode>
                <c:ptCount val="1"/>
                <c:pt idx="0">
                  <c:v>1570</c:v>
                </c:pt>
              </c:numCache>
            </c:numRef>
          </c:val>
          <c:smooth val="1"/>
        </c:ser>
        <c:ser>
          <c:idx val="14"/>
          <c:order val="14"/>
          <c:spPr>
            <a:solidFill>
              <a:srgbClr val="a9c37e"/>
            </a:solidFill>
            <a:ln w="47520">
              <a:solidFill>
                <a:srgbClr val="a9c37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Model'!$P$16</c:f>
              <c:numCache>
                <c:formatCode>\$#,##0;"($"#,##0\);\-</c:formatCode>
                <c:ptCount val="1"/>
                <c:pt idx="0">
                  <c:v>2311</c:v>
                </c:pt>
              </c:numCache>
            </c:numRef>
          </c:val>
          <c:smooth val="1"/>
        </c:ser>
        <c:ser>
          <c:idx val="15"/>
          <c:order val="15"/>
          <c:spPr>
            <a:solidFill>
              <a:srgbClr val="9684af"/>
            </a:solidFill>
            <a:ln w="47520">
              <a:solidFill>
                <a:srgbClr val="9684a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Model'!$Q$16</c:f>
              <c:numCache>
                <c:formatCode>\$#,##0;"($"#,##0\);\-</c:formatCode>
                <c:ptCount val="1"/>
                <c:pt idx="0">
                  <c:v>2062</c:v>
                </c:pt>
              </c:numCache>
            </c:numRef>
          </c:val>
          <c:smooth val="1"/>
        </c:ser>
        <c:ser>
          <c:idx val="16"/>
          <c:order val="16"/>
          <c:spPr>
            <a:solidFill>
              <a:srgbClr val="77b6cc"/>
            </a:solidFill>
            <a:ln w="47520">
              <a:solidFill>
                <a:srgbClr val="77b6c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Model'!$R$16</c:f>
              <c:numCache>
                <c:formatCode>\$#,##0;"($"#,##0\);\-</c:formatCode>
                <c:ptCount val="1"/>
                <c:pt idx="0">
                  <c:v>2317</c:v>
                </c:pt>
              </c:numCache>
            </c:numRef>
          </c:val>
          <c:smooth val="1"/>
        </c:ser>
        <c:ser>
          <c:idx val="17"/>
          <c:order val="17"/>
          <c:spPr>
            <a:solidFill>
              <a:srgbClr val="f5a574"/>
            </a:solidFill>
            <a:ln w="47520">
              <a:solidFill>
                <a:srgbClr val="f5a57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Model'!$S$16</c:f>
              <c:numCache>
                <c:formatCode>\$#,##0;"($"#,##0\);\-</c:formatCode>
                <c:ptCount val="1"/>
                <c:pt idx="0">
                  <c:v>3058</c:v>
                </c:pt>
              </c:numCache>
            </c:numRef>
          </c:val>
          <c:smooth val="1"/>
        </c:ser>
        <c:ser>
          <c:idx val="18"/>
          <c:order val="18"/>
          <c:spPr>
            <a:solidFill>
              <a:srgbClr val="b0bed7"/>
            </a:solidFill>
            <a:ln w="47520">
              <a:solidFill>
                <a:srgbClr val="b0bed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Model'!$T$16</c:f>
              <c:numCache>
                <c:formatCode>\$#,##0;"($"#,##0\);\-</c:formatCode>
                <c:ptCount val="1"/>
                <c:pt idx="0">
                  <c:v>2818</c:v>
                </c:pt>
              </c:numCache>
            </c:numRef>
          </c:val>
          <c:smooth val="1"/>
        </c:ser>
        <c:ser>
          <c:idx val="19"/>
          <c:order val="19"/>
          <c:spPr>
            <a:solidFill>
              <a:srgbClr val="d9b0b0"/>
            </a:solidFill>
            <a:ln w="47520">
              <a:solidFill>
                <a:srgbClr val="d9b0b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Model'!$U$16</c:f>
              <c:numCache>
                <c:formatCode>\$#,##0;"($"#,##0\);\-</c:formatCode>
                <c:ptCount val="1"/>
                <c:pt idx="0">
                  <c:v>3073</c:v>
                </c:pt>
              </c:numCache>
            </c:numRef>
          </c:val>
          <c:smooth val="1"/>
        </c:ser>
        <c:ser>
          <c:idx val="20"/>
          <c:order val="20"/>
          <c:spPr>
            <a:solidFill>
              <a:srgbClr val="c7d6b1"/>
            </a:solidFill>
            <a:ln w="47520">
              <a:solidFill>
                <a:srgbClr val="c7d6b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Model'!$V$16</c:f>
              <c:numCache>
                <c:formatCode>\$#,##0;"($"#,##0\);\-</c:formatCode>
                <c:ptCount val="1"/>
                <c:pt idx="0">
                  <c:v>3823</c:v>
                </c:pt>
              </c:numCache>
            </c:numRef>
          </c:val>
          <c:smooth val="1"/>
        </c:ser>
        <c:ser>
          <c:idx val="21"/>
          <c:order val="21"/>
          <c:spPr>
            <a:solidFill>
              <a:srgbClr val="bdb4cb"/>
            </a:solidFill>
            <a:ln w="47520">
              <a:solidFill>
                <a:srgbClr val="bdb4c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Model'!$W$16</c:f>
              <c:numCache>
                <c:formatCode>\$#,##0;"($"#,##0\);\-</c:formatCode>
                <c:ptCount val="1"/>
                <c:pt idx="0">
                  <c:v>3583</c:v>
                </c:pt>
              </c:numCache>
            </c:numRef>
          </c:val>
          <c:smooth val="1"/>
        </c:ser>
        <c:ser>
          <c:idx val="22"/>
          <c:order val="22"/>
          <c:spPr>
            <a:solidFill>
              <a:srgbClr val="b0cfdc"/>
            </a:solidFill>
            <a:ln w="47520">
              <a:solidFill>
                <a:srgbClr val="b0cfd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Model'!$X$16</c:f>
              <c:numCache>
                <c:formatCode>\$#,##0;"($"#,##0\);\-</c:formatCode>
                <c:ptCount val="1"/>
                <c:pt idx="0">
                  <c:v>3639</c:v>
                </c:pt>
              </c:numCache>
            </c:numRef>
          </c:val>
          <c:smooth val="1"/>
        </c:ser>
        <c:ser>
          <c:idx val="23"/>
          <c:order val="23"/>
          <c:spPr>
            <a:solidFill>
              <a:srgbClr val="f6c4ae"/>
            </a:solidFill>
            <a:ln w="47520">
              <a:solidFill>
                <a:srgbClr val="f6c4a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Model'!$Y$16</c:f>
              <c:numCache>
                <c:formatCode>\$#,##0;"($"#,##0\);\-</c:formatCode>
                <c:ptCount val="1"/>
                <c:pt idx="0">
                  <c:v>4228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6719515"/>
        <c:axId val="23903745"/>
      </c:lineChart>
      <c:catAx>
        <c:axId val="2671951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3903745"/>
        <c:crosses val="autoZero"/>
        <c:auto val="1"/>
        <c:lblAlgn val="ctr"/>
        <c:lblOffset val="100"/>
        <c:noMultiLvlLbl val="0"/>
      </c:catAx>
      <c:valAx>
        <c:axId val="239037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MRR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671951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邮件订阅人数增长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"免费订阅"</c:f>
              <c:strCache>
                <c:ptCount val="1"/>
                <c:pt idx="0">
                  <c:v>免费订阅</c:v>
                </c:pt>
              </c:strCache>
            </c:strRef>
          </c:tx>
          <c:spPr>
            <a:solidFill>
              <a:srgbClr val="1a5276"/>
            </a:solidFill>
            <a:ln w="21960">
              <a:solidFill>
                <a:srgbClr val="1a527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Model'!$B$6</c:f>
              <c:numCache>
                <c:formatCode>#,##0;\(#,##0\);\-</c:formatCode>
                <c:ptCount val="1"/>
                <c:pt idx="0">
                  <c:v>230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"付费订阅"</c:f>
              <c:strCache>
                <c:ptCount val="1"/>
                <c:pt idx="0">
                  <c:v>付费订阅</c:v>
                </c:pt>
              </c:strCache>
            </c:strRef>
          </c:tx>
          <c:spPr>
            <a:solidFill>
              <a:srgbClr val="c0392b"/>
            </a:solidFill>
            <a:ln w="21960">
              <a:solidFill>
                <a:srgbClr val="c0392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Model'!$C$6</c:f>
              <c:numCache>
                <c:formatCode>#,##0;\(#,##0\);\-</c:formatCode>
                <c:ptCount val="1"/>
                <c:pt idx="0">
                  <c:v>265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6c833b"/>
            </a:solidFill>
            <a:ln w="47520">
              <a:solidFill>
                <a:srgbClr val="6c833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Model'!$D$6</c:f>
              <c:numCache>
                <c:formatCode>#,##0;\(#,##0\);\-</c:formatCode>
                <c:ptCount val="1"/>
                <c:pt idx="0">
                  <c:v>305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584471"/>
            </a:solidFill>
            <a:ln w="47520">
              <a:solidFill>
                <a:srgbClr val="58447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Model'!$E$6</c:f>
              <c:numCache>
                <c:formatCode>#,##0;\(#,##0\);\-</c:formatCode>
                <c:ptCount val="1"/>
                <c:pt idx="0">
                  <c:v>351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31788a"/>
            </a:solidFill>
            <a:ln w="47520">
              <a:solidFill>
                <a:srgbClr val="31788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Model'!$F$6</c:f>
              <c:numCache>
                <c:formatCode>#,##0;\(#,##0\);\-</c:formatCode>
                <c:ptCount val="1"/>
                <c:pt idx="0">
                  <c:v>404</c:v>
                </c:pt>
              </c:numCache>
            </c:numRef>
          </c:val>
          <c:smooth val="1"/>
        </c:ser>
        <c:ser>
          <c:idx val="5"/>
          <c:order val="5"/>
          <c:spPr>
            <a:solidFill>
              <a:srgbClr val="ae672c"/>
            </a:solidFill>
            <a:ln w="47520">
              <a:solidFill>
                <a:srgbClr val="ae672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Model'!$G$6</c:f>
              <c:numCache>
                <c:formatCode>#,##0;\(#,##0\);\-</c:formatCode>
                <c:ptCount val="1"/>
                <c:pt idx="0">
                  <c:v>465</c:v>
                </c:pt>
              </c:numCache>
            </c:numRef>
          </c:val>
          <c:smooth val="1"/>
        </c:ser>
        <c:ser>
          <c:idx val="6"/>
          <c:order val="6"/>
          <c:spPr>
            <a:solidFill>
              <a:srgbClr val="3b6596"/>
            </a:solidFill>
            <a:ln w="47520">
              <a:solidFill>
                <a:srgbClr val="3b659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Model'!$H$6</c:f>
              <c:numCache>
                <c:formatCode>#,##0;\(#,##0\);\-</c:formatCode>
                <c:ptCount val="1"/>
                <c:pt idx="0">
                  <c:v>512</c:v>
                </c:pt>
              </c:numCache>
            </c:numRef>
          </c:val>
          <c:smooth val="1"/>
        </c:ser>
        <c:ser>
          <c:idx val="7"/>
          <c:order val="7"/>
          <c:spPr>
            <a:solidFill>
              <a:srgbClr val="983c3a"/>
            </a:solidFill>
            <a:ln w="47520">
              <a:solidFill>
                <a:srgbClr val="983c3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Model'!$I$6</c:f>
              <c:numCache>
                <c:formatCode>#,##0;\(#,##0\);\-</c:formatCode>
                <c:ptCount val="1"/>
                <c:pt idx="0">
                  <c:v>563</c:v>
                </c:pt>
              </c:numCache>
            </c:numRef>
          </c:val>
          <c:smooth val="1"/>
        </c:ser>
        <c:ser>
          <c:idx val="8"/>
          <c:order val="8"/>
          <c:spPr>
            <a:solidFill>
              <a:srgbClr val="7b9443"/>
            </a:solidFill>
            <a:ln w="47520">
              <a:solidFill>
                <a:srgbClr val="7b944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Model'!$J$6</c:f>
              <c:numCache>
                <c:formatCode>#,##0;\(#,##0\);\-</c:formatCode>
                <c:ptCount val="1"/>
                <c:pt idx="0">
                  <c:v>619</c:v>
                </c:pt>
              </c:numCache>
            </c:numRef>
          </c:val>
          <c:smooth val="1"/>
        </c:ser>
        <c:ser>
          <c:idx val="9"/>
          <c:order val="9"/>
          <c:spPr>
            <a:solidFill>
              <a:srgbClr val="644d80"/>
            </a:solidFill>
            <a:ln w="47520">
              <a:solidFill>
                <a:srgbClr val="644d8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Model'!$K$6</c:f>
              <c:numCache>
                <c:formatCode>#,##0;\(#,##0\);\-</c:formatCode>
                <c:ptCount val="1"/>
                <c:pt idx="0">
                  <c:v>681</c:v>
                </c:pt>
              </c:numCache>
            </c:numRef>
          </c:val>
          <c:smooth val="1"/>
        </c:ser>
        <c:ser>
          <c:idx val="10"/>
          <c:order val="10"/>
          <c:spPr>
            <a:solidFill>
              <a:srgbClr val="38879d"/>
            </a:solidFill>
            <a:ln w="47520">
              <a:solidFill>
                <a:srgbClr val="38879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Model'!$L$6</c:f>
              <c:numCache>
                <c:formatCode>#,##0;\(#,##0\);\-</c:formatCode>
                <c:ptCount val="1"/>
                <c:pt idx="0">
                  <c:v>749</c:v>
                </c:pt>
              </c:numCache>
            </c:numRef>
          </c:val>
          <c:smooth val="1"/>
        </c:ser>
        <c:ser>
          <c:idx val="11"/>
          <c:order val="11"/>
          <c:spPr>
            <a:solidFill>
              <a:srgbClr val="c57632"/>
            </a:solidFill>
            <a:ln w="47520">
              <a:solidFill>
                <a:srgbClr val="c5763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Model'!$M$6</c:f>
              <c:numCache>
                <c:formatCode>#,##0;\(#,##0\);\-</c:formatCode>
                <c:ptCount val="1"/>
                <c:pt idx="0">
                  <c:v>824</c:v>
                </c:pt>
              </c:numCache>
            </c:numRef>
          </c:val>
          <c:smooth val="1"/>
        </c:ser>
        <c:ser>
          <c:idx val="12"/>
          <c:order val="12"/>
          <c:spPr>
            <a:solidFill>
              <a:srgbClr val="426fa6"/>
            </a:solidFill>
            <a:ln w="47520">
              <a:solidFill>
                <a:srgbClr val="426f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Model'!$N$6</c:f>
              <c:numCache>
                <c:formatCode>#,##0;\(#,##0\);\-</c:formatCode>
                <c:ptCount val="1"/>
                <c:pt idx="0">
                  <c:v>882</c:v>
                </c:pt>
              </c:numCache>
            </c:numRef>
          </c:val>
          <c:smooth val="1"/>
        </c:ser>
        <c:ser>
          <c:idx val="13"/>
          <c:order val="13"/>
          <c:spPr>
            <a:solidFill>
              <a:srgbClr val="aa433f"/>
            </a:solidFill>
            <a:ln w="4752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Model'!$O$6</c:f>
              <c:numCache>
                <c:formatCode>#,##0;\(#,##0\);\-</c:formatCode>
                <c:ptCount val="1"/>
                <c:pt idx="0">
                  <c:v>944</c:v>
                </c:pt>
              </c:numCache>
            </c:numRef>
          </c:val>
          <c:smooth val="1"/>
        </c:ser>
        <c:ser>
          <c:idx val="14"/>
          <c:order val="14"/>
          <c:spPr>
            <a:solidFill>
              <a:srgbClr val="87a44b"/>
            </a:solidFill>
            <a:ln w="4752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Model'!$P$6</c:f>
              <c:numCache>
                <c:formatCode>#,##0;\(#,##0\);\-</c:formatCode>
                <c:ptCount val="1"/>
                <c:pt idx="0">
                  <c:v>1010</c:v>
                </c:pt>
              </c:numCache>
            </c:numRef>
          </c:val>
          <c:smooth val="1"/>
        </c:ser>
        <c:ser>
          <c:idx val="15"/>
          <c:order val="15"/>
          <c:spPr>
            <a:solidFill>
              <a:srgbClr val="6f568d"/>
            </a:solidFill>
            <a:ln w="4752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Model'!$Q$6</c:f>
              <c:numCache>
                <c:formatCode>#,##0;\(#,##0\);\-</c:formatCode>
                <c:ptCount val="1"/>
                <c:pt idx="0">
                  <c:v>1081</c:v>
                </c:pt>
              </c:numCache>
            </c:numRef>
          </c:val>
          <c:smooth val="1"/>
        </c:ser>
        <c:ser>
          <c:idx val="16"/>
          <c:order val="16"/>
          <c:spPr>
            <a:solidFill>
              <a:srgbClr val="3d97af"/>
            </a:solidFill>
            <a:ln w="4752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Model'!$R$6</c:f>
              <c:numCache>
                <c:formatCode>#,##0;\(#,##0\);\-</c:formatCode>
                <c:ptCount val="1"/>
                <c:pt idx="0">
                  <c:v>1157</c:v>
                </c:pt>
              </c:numCache>
            </c:numRef>
          </c:val>
          <c:smooth val="1"/>
        </c:ser>
        <c:ser>
          <c:idx val="17"/>
          <c:order val="17"/>
          <c:spPr>
            <a:solidFill>
              <a:srgbClr val="db8238"/>
            </a:solidFill>
            <a:ln w="4752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Model'!$S$6</c:f>
              <c:numCache>
                <c:formatCode>#,##0;\(#,##0\);\-</c:formatCode>
                <c:ptCount val="1"/>
                <c:pt idx="0">
                  <c:v>1238</c:v>
                </c:pt>
              </c:numCache>
            </c:numRef>
          </c:val>
          <c:smooth val="1"/>
        </c:ser>
        <c:ser>
          <c:idx val="18"/>
          <c:order val="18"/>
          <c:spPr>
            <a:solidFill>
              <a:srgbClr val="4779b4"/>
            </a:solidFill>
            <a:ln w="47520">
              <a:solidFill>
                <a:srgbClr val="4779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Model'!$T$6</c:f>
              <c:numCache>
                <c:formatCode>#,##0;\(#,##0\);\-</c:formatCode>
                <c:ptCount val="1"/>
                <c:pt idx="0">
                  <c:v>1325</c:v>
                </c:pt>
              </c:numCache>
            </c:numRef>
          </c:val>
          <c:smooth val="1"/>
        </c:ser>
        <c:ser>
          <c:idx val="19"/>
          <c:order val="19"/>
          <c:spPr>
            <a:solidFill>
              <a:srgbClr val="b74845"/>
            </a:solidFill>
            <a:ln w="47520">
              <a:solidFill>
                <a:srgbClr val="b7484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Model'!$U$6</c:f>
              <c:numCache>
                <c:formatCode>#,##0;\(#,##0\);\-</c:formatCode>
                <c:ptCount val="1"/>
                <c:pt idx="0">
                  <c:v>1418</c:v>
                </c:pt>
              </c:numCache>
            </c:numRef>
          </c:val>
          <c:smooth val="1"/>
        </c:ser>
        <c:ser>
          <c:idx val="20"/>
          <c:order val="20"/>
          <c:spPr>
            <a:solidFill>
              <a:srgbClr val="92b251"/>
            </a:solidFill>
            <a:ln w="47520">
              <a:solidFill>
                <a:srgbClr val="92b25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Model'!$V$6</c:f>
              <c:numCache>
                <c:formatCode>#,##0;\(#,##0\);\-</c:formatCode>
                <c:ptCount val="1"/>
                <c:pt idx="0">
                  <c:v>1517</c:v>
                </c:pt>
              </c:numCache>
            </c:numRef>
          </c:val>
          <c:smooth val="1"/>
        </c:ser>
        <c:ser>
          <c:idx val="21"/>
          <c:order val="21"/>
          <c:spPr>
            <a:solidFill>
              <a:srgbClr val="785c99"/>
            </a:solidFill>
            <a:ln w="47520">
              <a:solidFill>
                <a:srgbClr val="785c9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Model'!$W$6</c:f>
              <c:numCache>
                <c:formatCode>#,##0;\(#,##0\);\-</c:formatCode>
                <c:ptCount val="1"/>
                <c:pt idx="0">
                  <c:v>1623</c:v>
                </c:pt>
              </c:numCache>
            </c:numRef>
          </c:val>
          <c:smooth val="1"/>
        </c:ser>
        <c:ser>
          <c:idx val="22"/>
          <c:order val="22"/>
          <c:spPr>
            <a:solidFill>
              <a:srgbClr val="43a4bd"/>
            </a:solidFill>
            <a:ln w="47520">
              <a:solidFill>
                <a:srgbClr val="43a4b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Model'!$X$6</c:f>
              <c:numCache>
                <c:formatCode>#,##0;\(#,##0\);\-</c:formatCode>
                <c:ptCount val="1"/>
                <c:pt idx="0">
                  <c:v>1737</c:v>
                </c:pt>
              </c:numCache>
            </c:numRef>
          </c:val>
          <c:smooth val="1"/>
        </c:ser>
        <c:ser>
          <c:idx val="23"/>
          <c:order val="23"/>
          <c:spPr>
            <a:solidFill>
              <a:srgbClr val="ec8c3d"/>
            </a:solidFill>
            <a:ln w="47520">
              <a:solidFill>
                <a:srgbClr val="ec8c3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Model'!$Y$6</c:f>
              <c:numCache>
                <c:formatCode>#,##0;\(#,##0\);\-</c:formatCode>
                <c:ptCount val="1"/>
                <c:pt idx="0">
                  <c:v>1859</c:v>
                </c:pt>
              </c:numCache>
            </c:numRef>
          </c:val>
          <c:smooth val="1"/>
        </c:ser>
        <c:ser>
          <c:idx val="24"/>
          <c:order val="24"/>
          <c:spPr>
            <a:solidFill>
              <a:srgbClr val="678cc0"/>
            </a:solidFill>
            <a:ln w="47520">
              <a:solidFill>
                <a:srgbClr val="678cc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Model'!$B$8</c:f>
              <c:numCache>
                <c:formatCode>#,##0;\(#,##0\);\-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25"/>
          <c:order val="25"/>
          <c:spPr>
            <a:solidFill>
              <a:srgbClr val="c26866"/>
            </a:solidFill>
            <a:ln w="47520">
              <a:solidFill>
                <a:srgbClr val="c2686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Model'!$C$8</c:f>
              <c:numCache>
                <c:formatCode>#,##0;\(#,##0\);\-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26"/>
          <c:order val="26"/>
          <c:spPr>
            <a:solidFill>
              <a:srgbClr val="a2be6d"/>
            </a:solidFill>
            <a:ln w="47520">
              <a:solidFill>
                <a:srgbClr val="a2be6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Model'!$D$8</c:f>
              <c:numCache>
                <c:formatCode>#,##0;\(#,##0\);\-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27"/>
          <c:order val="27"/>
          <c:spPr>
            <a:solidFill>
              <a:srgbClr val="8b76a8"/>
            </a:solidFill>
            <a:ln w="47520">
              <a:solidFill>
                <a:srgbClr val="8b76a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Model'!$E$8</c:f>
              <c:numCache>
                <c:formatCode>#,##0;\(#,##0\);\-</c:formatCode>
                <c:ptCount val="1"/>
                <c:pt idx="0">
                  <c:v>11</c:v>
                </c:pt>
              </c:numCache>
            </c:numRef>
          </c:val>
          <c:smooth val="1"/>
        </c:ser>
        <c:ser>
          <c:idx val="28"/>
          <c:order val="28"/>
          <c:spPr>
            <a:solidFill>
              <a:srgbClr val="65b1c8"/>
            </a:solidFill>
            <a:ln w="47520">
              <a:solidFill>
                <a:srgbClr val="65b1c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Model'!$F$8</c:f>
              <c:numCache>
                <c:formatCode>#,##0;\(#,##0\);\-</c:formatCode>
                <c:ptCount val="1"/>
                <c:pt idx="0">
                  <c:v>12</c:v>
                </c:pt>
              </c:numCache>
            </c:numRef>
          </c:val>
          <c:smooth val="1"/>
        </c:ser>
        <c:ser>
          <c:idx val="29"/>
          <c:order val="29"/>
          <c:spPr>
            <a:solidFill>
              <a:srgbClr val="f59c60"/>
            </a:solidFill>
            <a:ln w="47520">
              <a:solidFill>
                <a:srgbClr val="f59c6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Model'!$G$8</c:f>
              <c:numCache>
                <c:formatCode>#,##0;\(#,##0\);\-</c:formatCode>
                <c:ptCount val="1"/>
                <c:pt idx="0">
                  <c:v>14</c:v>
                </c:pt>
              </c:numCache>
            </c:numRef>
          </c:val>
          <c:smooth val="1"/>
        </c:ser>
        <c:ser>
          <c:idx val="30"/>
          <c:order val="30"/>
          <c:spPr>
            <a:solidFill>
              <a:srgbClr val="8ea5ca"/>
            </a:solidFill>
            <a:ln w="4752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Model'!$H$8</c:f>
              <c:numCache>
                <c:formatCode>#,##0;\(#,##0\);\-</c:formatCode>
                <c:ptCount val="1"/>
                <c:pt idx="0">
                  <c:v>15</c:v>
                </c:pt>
              </c:numCache>
            </c:numRef>
          </c:val>
          <c:smooth val="1"/>
        </c:ser>
        <c:ser>
          <c:idx val="31"/>
          <c:order val="31"/>
          <c:spPr>
            <a:solidFill>
              <a:srgbClr val="cc8f8e"/>
            </a:solidFill>
            <a:ln w="4752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Model'!$I$8</c:f>
              <c:numCache>
                <c:formatCode>#,##0;\(#,##0\);\-</c:formatCode>
                <c:ptCount val="1"/>
                <c:pt idx="0">
                  <c:v>17</c:v>
                </c:pt>
              </c:numCache>
            </c:numRef>
          </c:val>
          <c:smooth val="1"/>
        </c:ser>
        <c:ser>
          <c:idx val="32"/>
          <c:order val="32"/>
          <c:spPr>
            <a:solidFill>
              <a:srgbClr val="b3c992"/>
            </a:solidFill>
            <a:ln w="4752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Model'!$J$8</c:f>
              <c:numCache>
                <c:formatCode>#,##0;\(#,##0\);\-</c:formatCode>
                <c:ptCount val="1"/>
                <c:pt idx="0">
                  <c:v>19</c:v>
                </c:pt>
              </c:numCache>
            </c:numRef>
          </c:val>
          <c:smooth val="1"/>
        </c:ser>
        <c:ser>
          <c:idx val="33"/>
          <c:order val="33"/>
          <c:spPr>
            <a:solidFill>
              <a:srgbClr val="a596b9"/>
            </a:solidFill>
            <a:ln w="47520">
              <a:solidFill>
                <a:srgbClr val="a596b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Model'!$K$8</c:f>
              <c:numCache>
                <c:formatCode>#,##0;\(#,##0\);\-</c:formatCode>
                <c:ptCount val="1"/>
                <c:pt idx="0">
                  <c:v>20</c:v>
                </c:pt>
              </c:numCache>
            </c:numRef>
          </c:val>
          <c:smooth val="1"/>
        </c:ser>
        <c:ser>
          <c:idx val="34"/>
          <c:order val="34"/>
          <c:spPr>
            <a:solidFill>
              <a:srgbClr val="8cbfd2"/>
            </a:solidFill>
            <a:ln w="47520">
              <a:solidFill>
                <a:srgbClr val="8cbfd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Model'!$L$8</c:f>
              <c:numCache>
                <c:formatCode>#,##0;\(#,##0\);\-</c:formatCode>
                <c:ptCount val="1"/>
                <c:pt idx="0">
                  <c:v>22</c:v>
                </c:pt>
              </c:numCache>
            </c:numRef>
          </c:val>
          <c:smooth val="1"/>
        </c:ser>
        <c:ser>
          <c:idx val="35"/>
          <c:order val="35"/>
          <c:spPr>
            <a:solidFill>
              <a:srgbClr val="f5b089"/>
            </a:solidFill>
            <a:ln w="47520">
              <a:solidFill>
                <a:srgbClr val="f5b08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Model'!$M$8</c:f>
              <c:numCache>
                <c:formatCode>#,##0;\(#,##0\);\-</c:formatCode>
                <c:ptCount val="1"/>
                <c:pt idx="0">
                  <c:v>25</c:v>
                </c:pt>
              </c:numCache>
            </c:numRef>
          </c:val>
          <c:smooth val="1"/>
        </c:ser>
        <c:ser>
          <c:idx val="36"/>
          <c:order val="36"/>
          <c:spPr>
            <a:solidFill>
              <a:srgbClr val="abbad5"/>
            </a:solidFill>
            <a:ln w="47520">
              <a:solidFill>
                <a:srgbClr val="abba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Model'!$N$8</c:f>
              <c:numCache>
                <c:formatCode>#,##0;\(#,##0\);\-</c:formatCode>
                <c:ptCount val="1"/>
                <c:pt idx="0">
                  <c:v>26</c:v>
                </c:pt>
              </c:numCache>
            </c:numRef>
          </c:val>
          <c:smooth val="1"/>
        </c:ser>
        <c:ser>
          <c:idx val="37"/>
          <c:order val="37"/>
          <c:spPr>
            <a:solidFill>
              <a:srgbClr val="d7abab"/>
            </a:solidFill>
            <a:ln w="47520">
              <a:solidFill>
                <a:srgbClr val="d7aba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Model'!$O$8</c:f>
              <c:numCache>
                <c:formatCode>#,##0;\(#,##0\);\-</c:formatCode>
                <c:ptCount val="1"/>
                <c:pt idx="0">
                  <c:v>28</c:v>
                </c:pt>
              </c:numCache>
            </c:numRef>
          </c:val>
          <c:smooth val="1"/>
        </c:ser>
        <c:ser>
          <c:idx val="38"/>
          <c:order val="38"/>
          <c:spPr>
            <a:solidFill>
              <a:srgbClr val="c4d4ae"/>
            </a:solidFill>
            <a:ln w="47520">
              <a:solidFill>
                <a:srgbClr val="c4d4a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Model'!$P$8</c:f>
              <c:numCache>
                <c:formatCode>#,##0;\(#,##0\);\-</c:formatCode>
                <c:ptCount val="1"/>
                <c:pt idx="0">
                  <c:v>30</c:v>
                </c:pt>
              </c:numCache>
            </c:numRef>
          </c:val>
          <c:smooth val="1"/>
        </c:ser>
        <c:ser>
          <c:idx val="39"/>
          <c:order val="39"/>
          <c:spPr>
            <a:solidFill>
              <a:srgbClr val="b9b0c8"/>
            </a:solidFill>
            <a:ln w="47520">
              <a:solidFill>
                <a:srgbClr val="b9b0c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Model'!$Q$8</c:f>
              <c:numCache>
                <c:formatCode>#,##0;\(#,##0\);\-</c:formatCode>
                <c:ptCount val="1"/>
                <c:pt idx="0">
                  <c:v>32</c:v>
                </c:pt>
              </c:numCache>
            </c:numRef>
          </c:val>
          <c:smooth val="1"/>
        </c:ser>
        <c:ser>
          <c:idx val="40"/>
          <c:order val="40"/>
          <c:spPr>
            <a:solidFill>
              <a:srgbClr val="aaccda"/>
            </a:solidFill>
            <a:ln w="47520">
              <a:solidFill>
                <a:srgbClr val="aaccd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Model'!$R$8</c:f>
              <c:numCache>
                <c:formatCode>#,##0;\(#,##0\);\-</c:formatCode>
                <c:ptCount val="1"/>
                <c:pt idx="0">
                  <c:v>35</c:v>
                </c:pt>
              </c:numCache>
            </c:numRef>
          </c:val>
          <c:smooth val="1"/>
        </c:ser>
        <c:ser>
          <c:idx val="41"/>
          <c:order val="41"/>
          <c:spPr>
            <a:solidFill>
              <a:srgbClr val="f6c1a8"/>
            </a:solidFill>
            <a:ln w="47520">
              <a:solidFill>
                <a:srgbClr val="f6c1a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Model'!$S$8</c:f>
              <c:numCache>
                <c:formatCode>#,##0;\(#,##0\);\-</c:formatCode>
                <c:ptCount val="1"/>
                <c:pt idx="0">
                  <c:v>37</c:v>
                </c:pt>
              </c:numCache>
            </c:numRef>
          </c:val>
          <c:smooth val="1"/>
        </c:ser>
        <c:ser>
          <c:idx val="42"/>
          <c:order val="42"/>
          <c:spPr>
            <a:solidFill>
              <a:srgbClr val="c2ccdf"/>
            </a:solidFill>
            <a:ln w="47520">
              <a:solidFill>
                <a:srgbClr val="c2ccd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Model'!$T$8</c:f>
              <c:numCache>
                <c:formatCode>#,##0;\(#,##0\);\-</c:formatCode>
                <c:ptCount val="1"/>
                <c:pt idx="0">
                  <c:v>40</c:v>
                </c:pt>
              </c:numCache>
            </c:numRef>
          </c:val>
          <c:smooth val="1"/>
        </c:ser>
        <c:ser>
          <c:idx val="43"/>
          <c:order val="43"/>
          <c:spPr>
            <a:solidFill>
              <a:srgbClr val="e0c2c2"/>
            </a:solidFill>
            <a:ln w="47520">
              <a:solidFill>
                <a:srgbClr val="e0c2c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Model'!$U$8</c:f>
              <c:numCache>
                <c:formatCode>#,##0;\(#,##0\);\-</c:formatCode>
                <c:ptCount val="1"/>
                <c:pt idx="0">
                  <c:v>43</c:v>
                </c:pt>
              </c:numCache>
            </c:numRef>
          </c:val>
          <c:smooth val="1"/>
        </c:ser>
        <c:ser>
          <c:idx val="44"/>
          <c:order val="44"/>
          <c:spPr>
            <a:solidFill>
              <a:srgbClr val="d3dec3"/>
            </a:solidFill>
            <a:ln w="47520">
              <a:solidFill>
                <a:srgbClr val="d3dec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Model'!$V$8</c:f>
              <c:numCache>
                <c:formatCode>#,##0;\(#,##0\);\-</c:formatCode>
                <c:ptCount val="1"/>
                <c:pt idx="0">
                  <c:v>46</c:v>
                </c:pt>
              </c:numCache>
            </c:numRef>
          </c:val>
          <c:smooth val="1"/>
        </c:ser>
        <c:ser>
          <c:idx val="45"/>
          <c:order val="45"/>
          <c:spPr>
            <a:solidFill>
              <a:srgbClr val="ccc6d6"/>
            </a:solidFill>
            <a:ln w="47520">
              <a:solidFill>
                <a:srgbClr val="ccc6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Model'!$W$8</c:f>
              <c:numCache>
                <c:formatCode>#,##0;\(#,##0\);\-</c:formatCode>
                <c:ptCount val="1"/>
                <c:pt idx="0">
                  <c:v>49</c:v>
                </c:pt>
              </c:numCache>
            </c:numRef>
          </c:val>
          <c:smooth val="1"/>
        </c:ser>
        <c:ser>
          <c:idx val="46"/>
          <c:order val="46"/>
          <c:spPr>
            <a:solidFill>
              <a:srgbClr val="c1d9e2"/>
            </a:solidFill>
            <a:ln w="47520">
              <a:solidFill>
                <a:srgbClr val="c1d9e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Model'!$X$8</c:f>
              <c:numCache>
                <c:formatCode>#,##0;\(#,##0\);\-</c:formatCode>
                <c:ptCount val="1"/>
                <c:pt idx="0">
                  <c:v>52</c:v>
                </c:pt>
              </c:numCache>
            </c:numRef>
          </c:val>
          <c:smooth val="1"/>
        </c:ser>
        <c:ser>
          <c:idx val="47"/>
          <c:order val="47"/>
          <c:spPr>
            <a:solidFill>
              <a:srgbClr val="f6d2c1"/>
            </a:solidFill>
            <a:ln w="47520">
              <a:solidFill>
                <a:srgbClr val="f6d2c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Model'!$Y$8</c:f>
              <c:numCache>
                <c:formatCode>#,##0;\(#,##0\);\-</c:formatCode>
                <c:ptCount val="1"/>
                <c:pt idx="0">
                  <c:v>56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8533668"/>
        <c:axId val="64610062"/>
      </c:lineChart>
      <c:catAx>
        <c:axId val="3853366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4610062"/>
        <c:crosses val="autoZero"/>
        <c:auto val="1"/>
        <c:lblAlgn val="ctr"/>
        <c:lblOffset val="100"/>
        <c:noMultiLvlLbl val="0"/>
      </c:catAx>
      <c:valAx>
        <c:axId val="646100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人数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853366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收入结构演变 (Revenue Mix)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"Newsletter"</c:f>
              <c:strCache>
                <c:ptCount val="1"/>
                <c:pt idx="0">
                  <c:v>Newsletter</c:v>
                </c:pt>
              </c:strCache>
            </c:strRef>
          </c:tx>
          <c:spPr>
            <a:solidFill>
              <a:srgbClr val="2e86c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Model'!$B$12</c:f>
              <c:numCache>
                <c:formatCode>\$#,##0;"($"#,##0\);\-</c:formatCode>
                <c:ptCount val="1"/>
                <c:pt idx="0">
                  <c:v>0</c:v>
                </c:pt>
              </c:numCache>
            </c:numRef>
          </c:val>
        </c:ser>
        <c:ser>
          <c:idx val="1"/>
          <c:order val="1"/>
          <c:tx>
            <c:strRef>
              <c:f>"Pro订阅"</c:f>
              <c:strCache>
                <c:ptCount val="1"/>
                <c:pt idx="0">
                  <c:v>Pro订阅</c:v>
                </c:pt>
              </c:strCache>
            </c:strRef>
          </c:tx>
          <c:spPr>
            <a:solidFill>
              <a:srgbClr val="e67e2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Model'!$C$12</c:f>
              <c:numCache>
                <c:formatCode>\$#,##0;"($"#,##0\);\-</c:formatCode>
                <c:ptCount val="1"/>
                <c:pt idx="0">
                  <c:v>0</c:v>
                </c:pt>
              </c:numCache>
            </c:numRef>
          </c:val>
        </c:ser>
        <c:ser>
          <c:idx val="2"/>
          <c:order val="2"/>
          <c:tx>
            <c:strRef>
              <c:f>"Enterprise"</c:f>
              <c:strCache>
                <c:ptCount val="1"/>
                <c:pt idx="0">
                  <c:v>Enterprise</c:v>
                </c:pt>
              </c:strCache>
            </c:strRef>
          </c:tx>
          <c:spPr>
            <a:solidFill>
              <a:srgbClr val="1e844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Model'!$D$12</c:f>
              <c:numCache>
                <c:formatCode>\$#,##0;"($"#,##0\);\-</c:formatCode>
                <c:ptCount val="1"/>
                <c:pt idx="0">
                  <c:v>0</c:v>
                </c:pt>
              </c:numCache>
            </c:numRef>
          </c:val>
        </c:ser>
        <c:ser>
          <c:idx val="3"/>
          <c:order val="3"/>
          <c:tx>
            <c:strRef>
              <c:f>"数据报告"</c:f>
              <c:strCache>
                <c:ptCount val="1"/>
                <c:pt idx="0">
                  <c:v>数据报告</c:v>
                </c:pt>
              </c:strCache>
            </c:strRef>
          </c:tx>
          <c:spPr>
            <a:solidFill>
              <a:srgbClr val="8e44a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Model'!$E$12</c:f>
              <c:numCache>
                <c:formatCode>\$#,##0;"($"#,##0\);\-</c:formatCode>
                <c:ptCount val="1"/>
                <c:pt idx="0">
                  <c:v>99</c:v>
                </c:pt>
              </c:numCache>
            </c:numRef>
          </c:val>
        </c:ser>
        <c:ser>
          <c:idx val="4"/>
          <c:order val="4"/>
          <c:spPr>
            <a:solidFill>
              <a:srgbClr val="31718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Model'!$F$12</c:f>
              <c:numCache>
                <c:formatCode>\$#,##0;"($"#,##0\);\-</c:formatCode>
                <c:ptCount val="1"/>
                <c:pt idx="0">
                  <c:v>108</c:v>
                </c:pt>
              </c:numCache>
            </c:numRef>
          </c:val>
        </c:ser>
        <c:ser>
          <c:idx val="5"/>
          <c:order val="5"/>
          <c:spPr>
            <a:solidFill>
              <a:srgbClr val="a2622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Model'!$G$12</c:f>
              <c:numCache>
                <c:formatCode>\$#,##0;"($"#,##0\);\-</c:formatCode>
                <c:ptCount val="1"/>
                <c:pt idx="0">
                  <c:v>126</c:v>
                </c:pt>
              </c:numCache>
            </c:numRef>
          </c:val>
        </c:ser>
        <c:ser>
          <c:idx val="6"/>
          <c:order val="6"/>
          <c:spPr>
            <a:solidFill>
              <a:srgbClr val="385c8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Model'!$H$12</c:f>
              <c:numCache>
                <c:formatCode>\$#,##0;"($"#,##0\);\-</c:formatCode>
                <c:ptCount val="1"/>
                <c:pt idx="0">
                  <c:v>135</c:v>
                </c:pt>
              </c:numCache>
            </c:numRef>
          </c:val>
        </c:ser>
        <c:ser>
          <c:idx val="7"/>
          <c:order val="7"/>
          <c:spPr>
            <a:solidFill>
              <a:srgbClr val="89393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Model'!$I$12</c:f>
              <c:numCache>
                <c:formatCode>\$#,##0;"($"#,##0\);\-</c:formatCode>
                <c:ptCount val="1"/>
                <c:pt idx="0">
                  <c:v>153</c:v>
                </c:pt>
              </c:numCache>
            </c:numRef>
          </c:val>
        </c:ser>
        <c:ser>
          <c:idx val="8"/>
          <c:order val="8"/>
          <c:spPr>
            <a:solidFill>
              <a:srgbClr val="6f863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Model'!$J$12</c:f>
              <c:numCache>
                <c:formatCode>\$#,##0;"($"#,##0\);\-</c:formatCode>
                <c:ptCount val="1"/>
                <c:pt idx="0">
                  <c:v>171</c:v>
                </c:pt>
              </c:numCache>
            </c:numRef>
          </c:val>
        </c:ser>
        <c:ser>
          <c:idx val="9"/>
          <c:order val="9"/>
          <c:spPr>
            <a:solidFill>
              <a:srgbClr val="5b477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Model'!$K$12</c:f>
              <c:numCache>
                <c:formatCode>\$#,##0;"($"#,##0\);\-</c:formatCode>
                <c:ptCount val="1"/>
                <c:pt idx="0">
                  <c:v>180</c:v>
                </c:pt>
              </c:numCache>
            </c:numRef>
          </c:val>
        </c:ser>
        <c:ser>
          <c:idx val="10"/>
          <c:order val="10"/>
          <c:spPr>
            <a:solidFill>
              <a:srgbClr val="357b8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Model'!$L$12</c:f>
              <c:numCache>
                <c:formatCode>\$#,##0;"($"#,##0\);\-</c:formatCode>
                <c:ptCount val="1"/>
                <c:pt idx="0">
                  <c:v>198</c:v>
                </c:pt>
              </c:numCache>
            </c:numRef>
          </c:val>
        </c:ser>
        <c:ser>
          <c:idx val="11"/>
          <c:order val="11"/>
          <c:spPr>
            <a:solidFill>
              <a:srgbClr val="b16b3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Model'!$M$12</c:f>
              <c:numCache>
                <c:formatCode>\$#,##0;"($"#,##0\);\-</c:formatCode>
                <c:ptCount val="1"/>
                <c:pt idx="0">
                  <c:v>225</c:v>
                </c:pt>
              </c:numCache>
            </c:numRef>
          </c:val>
        </c:ser>
        <c:ser>
          <c:idx val="12"/>
          <c:order val="12"/>
          <c:spPr>
            <a:solidFill>
              <a:srgbClr val="3c639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Model'!$N$12</c:f>
              <c:numCache>
                <c:formatCode>\$#,##0;"($"#,##0\);\-</c:formatCode>
                <c:ptCount val="1"/>
                <c:pt idx="0">
                  <c:v>234</c:v>
                </c:pt>
              </c:numCache>
            </c:numRef>
          </c:val>
        </c:ser>
        <c:ser>
          <c:idx val="13"/>
          <c:order val="13"/>
          <c:spPr>
            <a:solidFill>
              <a:srgbClr val="933d3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Model'!$O$12</c:f>
              <c:numCache>
                <c:formatCode>\$#,##0;"($"#,##0\);\-</c:formatCode>
                <c:ptCount val="1"/>
                <c:pt idx="0">
                  <c:v>252</c:v>
                </c:pt>
              </c:numCache>
            </c:numRef>
          </c:val>
        </c:ser>
        <c:ser>
          <c:idx val="14"/>
          <c:order val="14"/>
          <c:spPr>
            <a:solidFill>
              <a:srgbClr val="778f4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Model'!$P$12</c:f>
              <c:numCache>
                <c:formatCode>\$#,##0;"($"#,##0\);\-</c:formatCode>
                <c:ptCount val="1"/>
                <c:pt idx="0">
                  <c:v>270</c:v>
                </c:pt>
              </c:numCache>
            </c:numRef>
          </c:val>
        </c:ser>
        <c:ser>
          <c:idx val="15"/>
          <c:order val="15"/>
          <c:spPr>
            <a:solidFill>
              <a:srgbClr val="624c7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Model'!$Q$12</c:f>
              <c:numCache>
                <c:formatCode>\$#,##0;"($"#,##0\);\-</c:formatCode>
                <c:ptCount val="1"/>
                <c:pt idx="0">
                  <c:v>288</c:v>
                </c:pt>
              </c:numCache>
            </c:numRef>
          </c:val>
        </c:ser>
        <c:ser>
          <c:idx val="16"/>
          <c:order val="16"/>
          <c:spPr>
            <a:solidFill>
              <a:srgbClr val="39849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Model'!$R$12</c:f>
              <c:numCache>
                <c:formatCode>\$#,##0;"($"#,##0\);\-</c:formatCode>
                <c:ptCount val="1"/>
                <c:pt idx="0">
                  <c:v>315</c:v>
                </c:pt>
              </c:numCache>
            </c:numRef>
          </c:val>
        </c:ser>
        <c:ser>
          <c:idx val="17"/>
          <c:order val="17"/>
          <c:spPr>
            <a:solidFill>
              <a:srgbClr val="be733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Model'!$S$12</c:f>
              <c:numCache>
                <c:formatCode>\$#,##0;"($"#,##0\);\-</c:formatCode>
                <c:ptCount val="1"/>
                <c:pt idx="0">
                  <c:v>333</c:v>
                </c:pt>
              </c:numCache>
            </c:numRef>
          </c:val>
        </c:ser>
        <c:ser>
          <c:idx val="18"/>
          <c:order val="18"/>
          <c:spPr>
            <a:solidFill>
              <a:srgbClr val="40699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Model'!$T$12</c:f>
              <c:numCache>
                <c:formatCode>\$#,##0;"($"#,##0\);\-</c:formatCode>
                <c:ptCount val="1"/>
                <c:pt idx="0">
                  <c:v>360</c:v>
                </c:pt>
              </c:numCache>
            </c:numRef>
          </c:val>
        </c:ser>
        <c:ser>
          <c:idx val="19"/>
          <c:order val="19"/>
          <c:spPr>
            <a:solidFill>
              <a:srgbClr val="9c413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Model'!$U$12</c:f>
              <c:numCache>
                <c:formatCode>\$#,##0;"($"#,##0\);\-</c:formatCode>
                <c:ptCount val="1"/>
                <c:pt idx="0">
                  <c:v>387</c:v>
                </c:pt>
              </c:numCache>
            </c:numRef>
          </c:val>
        </c:ser>
        <c:ser>
          <c:idx val="20"/>
          <c:order val="20"/>
          <c:spPr>
            <a:solidFill>
              <a:srgbClr val="7e984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Model'!$V$12</c:f>
              <c:numCache>
                <c:formatCode>\$#,##0;"($"#,##0\);\-</c:formatCode>
                <c:ptCount val="1"/>
                <c:pt idx="0">
                  <c:v>414</c:v>
                </c:pt>
              </c:numCache>
            </c:numRef>
          </c:val>
        </c:ser>
        <c:ser>
          <c:idx val="21"/>
          <c:order val="21"/>
          <c:spPr>
            <a:solidFill>
              <a:srgbClr val="68518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Model'!$W$12</c:f>
              <c:numCache>
                <c:formatCode>\$#,##0;"($"#,##0\);\-</c:formatCode>
                <c:ptCount val="1"/>
                <c:pt idx="0">
                  <c:v>441</c:v>
                </c:pt>
              </c:numCache>
            </c:numRef>
          </c:val>
        </c:ser>
        <c:ser>
          <c:idx val="22"/>
          <c:order val="22"/>
          <c:spPr>
            <a:solidFill>
              <a:srgbClr val="3d8ca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Model'!$X$12</c:f>
              <c:numCache>
                <c:formatCode>\$#,##0;"($"#,##0\);\-</c:formatCode>
                <c:ptCount val="1"/>
                <c:pt idx="0">
                  <c:v>468</c:v>
                </c:pt>
              </c:numCache>
            </c:numRef>
          </c:val>
        </c:ser>
        <c:ser>
          <c:idx val="23"/>
          <c:order val="23"/>
          <c:spPr>
            <a:solidFill>
              <a:srgbClr val="c97a3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Model'!$Y$12</c:f>
              <c:numCache>
                <c:formatCode>\$#,##0;"($"#,##0\);\-</c:formatCode>
                <c:ptCount val="1"/>
                <c:pt idx="0">
                  <c:v>504</c:v>
                </c:pt>
              </c:numCache>
            </c:numRef>
          </c:val>
        </c:ser>
        <c:ser>
          <c:idx val="24"/>
          <c:order val="24"/>
          <c:spPr>
            <a:solidFill>
              <a:srgbClr val="446f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Model'!$B$13</c:f>
              <c:numCache>
                <c:formatCode>\$#,##0;"($"#,##0\);\-</c:formatCode>
                <c:ptCount val="1"/>
                <c:pt idx="0">
                  <c:v>0</c:v>
                </c:pt>
              </c:numCache>
            </c:numRef>
          </c:val>
        </c:ser>
        <c:ser>
          <c:idx val="25"/>
          <c:order val="25"/>
          <c:spPr>
            <a:solidFill>
              <a:srgbClr val="a5454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Model'!$C$13</c:f>
              <c:numCache>
                <c:formatCode>\$#,##0;"($"#,##0\);\-</c:formatCode>
                <c:ptCount val="1"/>
                <c:pt idx="0">
                  <c:v>0</c:v>
                </c:pt>
              </c:numCache>
            </c:numRef>
          </c:val>
        </c:ser>
        <c:ser>
          <c:idx val="26"/>
          <c:order val="26"/>
          <c:spPr>
            <a:solidFill>
              <a:srgbClr val="85a14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Model'!$D$13</c:f>
              <c:numCache>
                <c:formatCode>\$#,##0;"($"#,##0\);\-</c:formatCode>
                <c:ptCount val="1"/>
                <c:pt idx="0">
                  <c:v>0</c:v>
                </c:pt>
              </c:numCache>
            </c:numRef>
          </c:val>
        </c:ser>
        <c:ser>
          <c:idx val="27"/>
          <c:order val="27"/>
          <c:spPr>
            <a:solidFill>
              <a:srgbClr val="6e568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Model'!$E$13</c:f>
              <c:numCache>
                <c:formatCode>\$#,##0;"($"#,##0\);\-</c:formatCode>
                <c:ptCount val="1"/>
                <c:pt idx="0">
                  <c:v>0</c:v>
                </c:pt>
              </c:numCache>
            </c:numRef>
          </c:val>
        </c:ser>
        <c:ser>
          <c:idx val="28"/>
          <c:order val="28"/>
          <c:spPr>
            <a:solidFill>
              <a:srgbClr val="4094a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Model'!$F$13</c:f>
              <c:numCache>
                <c:formatCode>\$#,##0;"($"#,##0\);\-</c:formatCode>
                <c:ptCount val="1"/>
                <c:pt idx="0">
                  <c:v>0</c:v>
                </c:pt>
              </c:numCache>
            </c:numRef>
          </c:val>
        </c:ser>
        <c:ser>
          <c:idx val="29"/>
          <c:order val="29"/>
          <c:spPr>
            <a:solidFill>
              <a:srgbClr val="d5813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Model'!$G$13</c:f>
              <c:numCache>
                <c:formatCode>\$#,##0;"($"#,##0\);\-</c:formatCode>
                <c:ptCount val="1"/>
                <c:pt idx="0">
                  <c:v>0</c:v>
                </c:pt>
              </c:numCache>
            </c:numRef>
          </c:val>
        </c:ser>
        <c:ser>
          <c:idx val="30"/>
          <c:order val="30"/>
          <c:spPr>
            <a:solidFill>
              <a:srgbClr val="4774a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Model'!$H$13</c:f>
              <c:numCache>
                <c:formatCode>\$#,##0;"($"#,##0\);\-</c:formatCode>
                <c:ptCount val="1"/>
                <c:pt idx="0">
                  <c:v>319</c:v>
                </c:pt>
              </c:numCache>
            </c:numRef>
          </c:val>
        </c:ser>
        <c:ser>
          <c:idx val="31"/>
          <c:order val="31"/>
          <c:spPr>
            <a:solidFill>
              <a:srgbClr val="ad484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Model'!$I$13</c:f>
              <c:numCache>
                <c:formatCode>\$#,##0;"($"#,##0\);\-</c:formatCode>
                <c:ptCount val="1"/>
                <c:pt idx="0">
                  <c:v>348</c:v>
                </c:pt>
              </c:numCache>
            </c:numRef>
          </c:val>
        </c:ser>
        <c:ser>
          <c:idx val="32"/>
          <c:order val="32"/>
          <c:spPr>
            <a:solidFill>
              <a:srgbClr val="8ca95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Model'!$J$13</c:f>
              <c:numCache>
                <c:formatCode>\$#,##0;"($"#,##0\);\-</c:formatCode>
                <c:ptCount val="1"/>
                <c:pt idx="0">
                  <c:v>377</c:v>
                </c:pt>
              </c:numCache>
            </c:numRef>
          </c:val>
        </c:ser>
        <c:ser>
          <c:idx val="33"/>
          <c:order val="33"/>
          <c:spPr>
            <a:solidFill>
              <a:srgbClr val="735a9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Model'!$K$13</c:f>
              <c:numCache>
                <c:formatCode>\$#,##0;"($"#,##0\);\-</c:formatCode>
                <c:ptCount val="1"/>
                <c:pt idx="0">
                  <c:v>406</c:v>
                </c:pt>
              </c:numCache>
            </c:numRef>
          </c:val>
        </c:ser>
        <c:ser>
          <c:idx val="34"/>
          <c:order val="34"/>
          <c:spPr>
            <a:solidFill>
              <a:srgbClr val="439bb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Model'!$L$13</c:f>
              <c:numCache>
                <c:formatCode>\$#,##0;"($"#,##0\);\-</c:formatCode>
                <c:ptCount val="1"/>
                <c:pt idx="0">
                  <c:v>435</c:v>
                </c:pt>
              </c:numCache>
            </c:numRef>
          </c:val>
        </c:ser>
        <c:ser>
          <c:idx val="35"/>
          <c:order val="35"/>
          <c:spPr>
            <a:solidFill>
              <a:srgbClr val="df873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Model'!$M$13</c:f>
              <c:numCache>
                <c:formatCode>\$#,##0;"($"#,##0\);\-</c:formatCode>
                <c:ptCount val="1"/>
                <c:pt idx="0">
                  <c:v>464</c:v>
                </c:pt>
              </c:numCache>
            </c:numRef>
          </c:val>
        </c:ser>
        <c:ser>
          <c:idx val="36"/>
          <c:order val="36"/>
          <c:spPr>
            <a:solidFill>
              <a:srgbClr val="4a79b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Model'!$N$13</c:f>
              <c:numCache>
                <c:formatCode>\$#,##0;"($"#,##0\);\-</c:formatCode>
                <c:ptCount val="1"/>
                <c:pt idx="0">
                  <c:v>493</c:v>
                </c:pt>
              </c:numCache>
            </c:numRef>
          </c:val>
        </c:ser>
        <c:ser>
          <c:idx val="37"/>
          <c:order val="37"/>
          <c:spPr>
            <a:solidFill>
              <a:srgbClr val="b54b4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Model'!$O$13</c:f>
              <c:numCache>
                <c:formatCode>\$#,##0;"($"#,##0\);\-</c:formatCode>
                <c:ptCount val="1"/>
                <c:pt idx="0">
                  <c:v>522</c:v>
                </c:pt>
              </c:numCache>
            </c:numRef>
          </c:val>
        </c:ser>
        <c:ser>
          <c:idx val="38"/>
          <c:order val="38"/>
          <c:spPr>
            <a:solidFill>
              <a:srgbClr val="92b05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Model'!$P$13</c:f>
              <c:numCache>
                <c:formatCode>\$#,##0;"($"#,##0\);\-</c:formatCode>
                <c:ptCount val="1"/>
                <c:pt idx="0">
                  <c:v>551</c:v>
                </c:pt>
              </c:numCache>
            </c:numRef>
          </c:val>
        </c:ser>
        <c:ser>
          <c:idx val="39"/>
          <c:order val="39"/>
          <c:spPr>
            <a:solidFill>
              <a:srgbClr val="785e9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Model'!$Q$13</c:f>
              <c:numCache>
                <c:formatCode>\$#,##0;"($"#,##0\);\-</c:formatCode>
                <c:ptCount val="1"/>
                <c:pt idx="0">
                  <c:v>580</c:v>
                </c:pt>
              </c:numCache>
            </c:numRef>
          </c:val>
        </c:ser>
        <c:ser>
          <c:idx val="40"/>
          <c:order val="40"/>
          <c:spPr>
            <a:solidFill>
              <a:srgbClr val="46a2b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Model'!$R$13</c:f>
              <c:numCache>
                <c:formatCode>\$#,##0;"($"#,##0\);\-</c:formatCode>
                <c:ptCount val="1"/>
                <c:pt idx="0">
                  <c:v>609</c:v>
                </c:pt>
              </c:numCache>
            </c:numRef>
          </c:val>
        </c:ser>
        <c:ser>
          <c:idx val="41"/>
          <c:order val="41"/>
          <c:spPr>
            <a:solidFill>
              <a:srgbClr val="e98d4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Model'!$S$13</c:f>
              <c:numCache>
                <c:formatCode>\$#,##0;"($"#,##0\);\-</c:formatCode>
                <c:ptCount val="1"/>
                <c:pt idx="0">
                  <c:v>638</c:v>
                </c:pt>
              </c:numCache>
            </c:numRef>
          </c:val>
        </c:ser>
        <c:ser>
          <c:idx val="42"/>
          <c:order val="42"/>
          <c:spPr>
            <a:solidFill>
              <a:srgbClr val="4d7eb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Model'!$T$13</c:f>
              <c:numCache>
                <c:formatCode>\$#,##0;"($"#,##0\);\-</c:formatCode>
                <c:ptCount val="1"/>
                <c:pt idx="0">
                  <c:v>667</c:v>
                </c:pt>
              </c:numCache>
            </c:numRef>
          </c:val>
        </c:ser>
        <c:ser>
          <c:idx val="43"/>
          <c:order val="43"/>
          <c:spPr>
            <a:solidFill>
              <a:srgbClr val="bc4e4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Model'!$U$13</c:f>
              <c:numCache>
                <c:formatCode>\$#,##0;"($"#,##0\);\-</c:formatCode>
                <c:ptCount val="1"/>
                <c:pt idx="0">
                  <c:v>696</c:v>
                </c:pt>
              </c:numCache>
            </c:numRef>
          </c:val>
        </c:ser>
        <c:ser>
          <c:idx val="44"/>
          <c:order val="44"/>
          <c:spPr>
            <a:solidFill>
              <a:srgbClr val="98b75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Model'!$V$13</c:f>
              <c:numCache>
                <c:formatCode>\$#,##0;"($"#,##0\);\-</c:formatCode>
                <c:ptCount val="1"/>
                <c:pt idx="0">
                  <c:v>725</c:v>
                </c:pt>
              </c:numCache>
            </c:numRef>
          </c:val>
        </c:ser>
        <c:ser>
          <c:idx val="45"/>
          <c:order val="45"/>
          <c:spPr>
            <a:solidFill>
              <a:srgbClr val="7d629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Model'!$W$13</c:f>
              <c:numCache>
                <c:formatCode>\$#,##0;"($"#,##0\);\-</c:formatCode>
                <c:ptCount val="1"/>
                <c:pt idx="0">
                  <c:v>754</c:v>
                </c:pt>
              </c:numCache>
            </c:numRef>
          </c:val>
        </c:ser>
        <c:ser>
          <c:idx val="46"/>
          <c:order val="46"/>
          <c:spPr>
            <a:solidFill>
              <a:srgbClr val="49a8c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Model'!$X$13</c:f>
              <c:numCache>
                <c:formatCode>\$#,##0;"($"#,##0\);\-</c:formatCode>
                <c:ptCount val="1"/>
                <c:pt idx="0">
                  <c:v>783</c:v>
                </c:pt>
              </c:numCache>
            </c:numRef>
          </c:val>
        </c:ser>
        <c:ser>
          <c:idx val="47"/>
          <c:order val="47"/>
          <c:spPr>
            <a:solidFill>
              <a:srgbClr val="f2934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Model'!$Y$13</c:f>
              <c:numCache>
                <c:formatCode>\$#,##0;"($"#,##0\);\-</c:formatCode>
                <c:ptCount val="1"/>
                <c:pt idx="0">
                  <c:v>841</c:v>
                </c:pt>
              </c:numCache>
            </c:numRef>
          </c:val>
        </c:ser>
        <c:ser>
          <c:idx val="48"/>
          <c:order val="48"/>
          <c:spPr>
            <a:solidFill>
              <a:srgbClr val="6089c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Model'!$B$14</c:f>
              <c:numCache>
                <c:formatCode>\$#,##0;"($"#,##0\);\-</c:formatCode>
                <c:ptCount val="1"/>
                <c:pt idx="0">
                  <c:v>0</c:v>
                </c:pt>
              </c:numCache>
            </c:numRef>
          </c:val>
        </c:ser>
        <c:ser>
          <c:idx val="49"/>
          <c:order val="49"/>
          <c:spPr>
            <a:solidFill>
              <a:srgbClr val="c3605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Model'!$C$14</c:f>
              <c:numCache>
                <c:formatCode>\$#,##0;"($"#,##0\);\-</c:formatCode>
                <c:ptCount val="1"/>
                <c:pt idx="0">
                  <c:v>0</c:v>
                </c:pt>
              </c:numCache>
            </c:numRef>
          </c:val>
        </c:ser>
        <c:ser>
          <c:idx val="50"/>
          <c:order val="50"/>
          <c:spPr>
            <a:solidFill>
              <a:srgbClr val="a0be6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Model'!$D$14</c:f>
              <c:numCache>
                <c:formatCode>\$#,##0;"($"#,##0\);\-</c:formatCode>
                <c:ptCount val="1"/>
                <c:pt idx="0">
                  <c:v>0</c:v>
                </c:pt>
              </c:numCache>
            </c:numRef>
          </c:val>
        </c:ser>
        <c:ser>
          <c:idx val="51"/>
          <c:order val="51"/>
          <c:spPr>
            <a:solidFill>
              <a:srgbClr val="8870a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Model'!$E$14</c:f>
              <c:numCache>
                <c:formatCode>\$#,##0;"($"#,##0\);\-</c:formatCode>
                <c:ptCount val="1"/>
                <c:pt idx="0">
                  <c:v>0</c:v>
                </c:pt>
              </c:numCache>
            </c:numRef>
          </c:val>
        </c:ser>
        <c:ser>
          <c:idx val="52"/>
          <c:order val="52"/>
          <c:spPr>
            <a:solidFill>
              <a:srgbClr val="5db0c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Model'!$F$14</c:f>
              <c:numCache>
                <c:formatCode>\$#,##0;"($"#,##0\);\-</c:formatCode>
                <c:ptCount val="1"/>
                <c:pt idx="0">
                  <c:v>0</c:v>
                </c:pt>
              </c:numCache>
            </c:numRef>
          </c:val>
        </c:ser>
        <c:ser>
          <c:idx val="53"/>
          <c:order val="53"/>
          <c:spPr>
            <a:solidFill>
              <a:srgbClr val="f79c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Model'!$G$14</c:f>
              <c:numCache>
                <c:formatCode>\$#,##0;"($"#,##0\);\-</c:formatCode>
                <c:ptCount val="1"/>
                <c:pt idx="0">
                  <c:v>0</c:v>
                </c:pt>
              </c:numCache>
            </c:numRef>
          </c:val>
        </c:ser>
        <c:ser>
          <c:idx val="54"/>
          <c:order val="54"/>
          <c:spPr>
            <a:solidFill>
              <a:srgbClr val="7998c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Model'!$H$14</c:f>
              <c:numCache>
                <c:formatCode>\$#,##0;"($"#,##0\);\-</c:formatCode>
                <c:ptCount val="1"/>
                <c:pt idx="0">
                  <c:v>0</c:v>
                </c:pt>
              </c:numCache>
            </c:numRef>
          </c:val>
        </c:ser>
        <c:ser>
          <c:idx val="55"/>
          <c:order val="55"/>
          <c:spPr>
            <a:solidFill>
              <a:srgbClr val="c97a7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Model'!$I$14</c:f>
              <c:numCache>
                <c:formatCode>\$#,##0;"($"#,##0\);\-</c:formatCode>
                <c:ptCount val="1"/>
                <c:pt idx="0">
                  <c:v>0</c:v>
                </c:pt>
              </c:numCache>
            </c:numRef>
          </c:val>
        </c:ser>
        <c:ser>
          <c:idx val="56"/>
          <c:order val="56"/>
          <c:spPr>
            <a:solidFill>
              <a:srgbClr val="abc57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Model'!$J$14</c:f>
              <c:numCache>
                <c:formatCode>\$#,##0;"($"#,##0\);\-</c:formatCode>
                <c:ptCount val="1"/>
                <c:pt idx="0">
                  <c:v>0</c:v>
                </c:pt>
              </c:numCache>
            </c:numRef>
          </c:val>
        </c:ser>
        <c:ser>
          <c:idx val="57"/>
          <c:order val="57"/>
          <c:spPr>
            <a:solidFill>
              <a:srgbClr val="9785b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Model'!$K$14</c:f>
              <c:numCache>
                <c:formatCode>\$#,##0;"($"#,##0\);\-</c:formatCode>
                <c:ptCount val="1"/>
                <c:pt idx="0">
                  <c:v>0</c:v>
                </c:pt>
              </c:numCache>
            </c:numRef>
          </c:val>
        </c:ser>
        <c:ser>
          <c:idx val="58"/>
          <c:order val="58"/>
          <c:spPr>
            <a:solidFill>
              <a:srgbClr val="77b8c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Model'!$L$14</c:f>
              <c:numCache>
                <c:formatCode>\$#,##0;"($"#,##0\);\-</c:formatCode>
                <c:ptCount val="1"/>
                <c:pt idx="0">
                  <c:v>0</c:v>
                </c:pt>
              </c:numCache>
            </c:numRef>
          </c:val>
        </c:ser>
        <c:ser>
          <c:idx val="59"/>
          <c:order val="59"/>
          <c:spPr>
            <a:solidFill>
              <a:srgbClr val="f8a77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Model'!$M$14</c:f>
              <c:numCache>
                <c:formatCode>\$#,##0;"($"#,##0\);\-</c:formatCode>
                <c:ptCount val="1"/>
                <c:pt idx="0">
                  <c:v>0</c:v>
                </c:pt>
              </c:numCache>
            </c:numRef>
          </c:val>
        </c:ser>
        <c:ser>
          <c:idx val="60"/>
          <c:order val="60"/>
          <c:spPr>
            <a:solidFill>
              <a:srgbClr val="8da5c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Model'!$N$14</c:f>
              <c:numCache>
                <c:formatCode>\$#,##0;"($"#,##0\);\-</c:formatCode>
                <c:ptCount val="1"/>
                <c:pt idx="0">
                  <c:v>597</c:v>
                </c:pt>
              </c:numCache>
            </c:numRef>
          </c:val>
        </c:ser>
        <c:ser>
          <c:idx val="61"/>
          <c:order val="61"/>
          <c:spPr>
            <a:solidFill>
              <a:srgbClr val="cf8e8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Model'!$O$14</c:f>
              <c:numCache>
                <c:formatCode>\$#,##0;"($"#,##0\);\-</c:formatCode>
                <c:ptCount val="1"/>
                <c:pt idx="0">
                  <c:v>796</c:v>
                </c:pt>
              </c:numCache>
            </c:numRef>
          </c:val>
        </c:ser>
        <c:ser>
          <c:idx val="62"/>
          <c:order val="62"/>
          <c:spPr>
            <a:solidFill>
              <a:srgbClr val="b5cb9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Model'!$P$14</c:f>
              <c:numCache>
                <c:formatCode>\$#,##0;"($"#,##0\);\-</c:formatCode>
                <c:ptCount val="1"/>
                <c:pt idx="0">
                  <c:v>995</c:v>
                </c:pt>
              </c:numCache>
            </c:numRef>
          </c:val>
        </c:ser>
        <c:ser>
          <c:idx val="63"/>
          <c:order val="63"/>
          <c:spPr>
            <a:solidFill>
              <a:srgbClr val="a596b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Model'!$Q$14</c:f>
              <c:numCache>
                <c:formatCode>\$#,##0;"($"#,##0\);\-</c:formatCode>
                <c:ptCount val="1"/>
                <c:pt idx="0">
                  <c:v>1194</c:v>
                </c:pt>
              </c:numCache>
            </c:numRef>
          </c:val>
        </c:ser>
        <c:ser>
          <c:idx val="64"/>
          <c:order val="64"/>
          <c:spPr>
            <a:solidFill>
              <a:srgbClr val="8cc0d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Model'!$R$14</c:f>
              <c:numCache>
                <c:formatCode>\$#,##0;"($"#,##0\);\-</c:formatCode>
                <c:ptCount val="1"/>
                <c:pt idx="0">
                  <c:v>1393</c:v>
                </c:pt>
              </c:numCache>
            </c:numRef>
          </c:val>
        </c:ser>
        <c:ser>
          <c:idx val="65"/>
          <c:order val="65"/>
          <c:spPr>
            <a:solidFill>
              <a:srgbClr val="f8b28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Model'!$S$14</c:f>
              <c:numCache>
                <c:formatCode>\$#,##0;"($"#,##0\);\-</c:formatCode>
                <c:ptCount val="1"/>
                <c:pt idx="0">
                  <c:v>1592</c:v>
                </c:pt>
              </c:numCache>
            </c:numRef>
          </c:val>
        </c:ser>
        <c:ser>
          <c:idx val="66"/>
          <c:order val="66"/>
          <c:spPr>
            <a:solidFill>
              <a:srgbClr val="9eb1d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Model'!$T$14</c:f>
              <c:numCache>
                <c:formatCode>\$#,##0;"($"#,##0\);\-</c:formatCode>
                <c:ptCount val="1"/>
                <c:pt idx="0">
                  <c:v>1791</c:v>
                </c:pt>
              </c:numCache>
            </c:numRef>
          </c:val>
        </c:ser>
        <c:ser>
          <c:idx val="67"/>
          <c:order val="67"/>
          <c:spPr>
            <a:solidFill>
              <a:srgbClr val="d49f9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Model'!$U$14</c:f>
              <c:numCache>
                <c:formatCode>\$#,##0;"($"#,##0\);\-</c:formatCode>
                <c:ptCount val="1"/>
                <c:pt idx="0">
                  <c:v>1990</c:v>
                </c:pt>
              </c:numCache>
            </c:numRef>
          </c:val>
        </c:ser>
        <c:ser>
          <c:idx val="68"/>
          <c:order val="68"/>
          <c:spPr>
            <a:solidFill>
              <a:srgbClr val="bfd1a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Model'!$V$14</c:f>
              <c:numCache>
                <c:formatCode>\$#,##0;"($"#,##0\);\-</c:formatCode>
                <c:ptCount val="1"/>
                <c:pt idx="0">
                  <c:v>2189</c:v>
                </c:pt>
              </c:numCache>
            </c:numRef>
          </c:val>
        </c:ser>
        <c:ser>
          <c:idx val="69"/>
          <c:order val="69"/>
          <c:spPr>
            <a:solidFill>
              <a:srgbClr val="b1a5c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Model'!$W$14</c:f>
              <c:numCache>
                <c:formatCode>\$#,##0;"($"#,##0\);\-</c:formatCode>
                <c:ptCount val="1"/>
                <c:pt idx="0">
                  <c:v>2388</c:v>
                </c:pt>
              </c:numCache>
            </c:numRef>
          </c:val>
        </c:ser>
        <c:ser>
          <c:idx val="70"/>
          <c:order val="70"/>
          <c:spPr>
            <a:solidFill>
              <a:srgbClr val="9dc8d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Model'!$X$14</c:f>
              <c:numCache>
                <c:formatCode>\$#,##0;"($"#,##0\);\-</c:formatCode>
                <c:ptCount val="1"/>
                <c:pt idx="0">
                  <c:v>2388</c:v>
                </c:pt>
              </c:numCache>
            </c:numRef>
          </c:val>
        </c:ser>
        <c:ser>
          <c:idx val="71"/>
          <c:order val="71"/>
          <c:spPr>
            <a:solidFill>
              <a:srgbClr val="f9bc9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Model'!$Y$14</c:f>
              <c:numCache>
                <c:formatCode>\$#,##0;"($"#,##0\);\-</c:formatCode>
                <c:ptCount val="1"/>
                <c:pt idx="0">
                  <c:v>2388</c:v>
                </c:pt>
              </c:numCache>
            </c:numRef>
          </c:val>
        </c:ser>
        <c:ser>
          <c:idx val="72"/>
          <c:order val="72"/>
          <c:spPr>
            <a:solidFill>
              <a:srgbClr val="adbcd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Model'!$B$15</c:f>
              <c:numCache>
                <c:formatCode>General</c:formatCode>
                <c:ptCount val="1"/>
              </c:numCache>
            </c:numRef>
          </c:val>
        </c:ser>
        <c:ser>
          <c:idx val="73"/>
          <c:order val="73"/>
          <c:spPr>
            <a:solidFill>
              <a:srgbClr val="daada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Model'!$C$15</c:f>
              <c:numCache>
                <c:formatCode>General</c:formatCode>
                <c:ptCount val="1"/>
              </c:numCache>
            </c:numRef>
          </c:val>
        </c:ser>
        <c:ser>
          <c:idx val="74"/>
          <c:order val="74"/>
          <c:spPr>
            <a:solidFill>
              <a:srgbClr val="c7d7b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Model'!$D$15</c:f>
              <c:numCache>
                <c:formatCode>General</c:formatCode>
                <c:ptCount val="1"/>
              </c:numCache>
            </c:numRef>
          </c:val>
        </c:ser>
        <c:ser>
          <c:idx val="75"/>
          <c:order val="75"/>
          <c:spPr>
            <a:solidFill>
              <a:srgbClr val="bcb3c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Model'!$E$15</c:f>
              <c:numCache>
                <c:formatCode>General</c:formatCode>
                <c:ptCount val="1"/>
              </c:numCache>
            </c:numRef>
          </c:val>
        </c:ser>
        <c:ser>
          <c:idx val="76"/>
          <c:order val="76"/>
          <c:spPr>
            <a:solidFill>
              <a:srgbClr val="accfd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Model'!$F$15</c:f>
              <c:numCache>
                <c:formatCode>General</c:formatCode>
                <c:ptCount val="1"/>
              </c:numCache>
            </c:numRef>
          </c:val>
        </c:ser>
        <c:ser>
          <c:idx val="77"/>
          <c:order val="77"/>
          <c:spPr>
            <a:solidFill>
              <a:srgbClr val="fac5a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Model'!$G$15</c:f>
              <c:numCache>
                <c:formatCode>General</c:formatCode>
                <c:ptCount val="1"/>
              </c:numCache>
            </c:numRef>
          </c:val>
        </c:ser>
        <c:ser>
          <c:idx val="78"/>
          <c:order val="78"/>
          <c:spPr>
            <a:solidFill>
              <a:srgbClr val="bac7d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Model'!$H$15</c:f>
              <c:numCache>
                <c:formatCode>General</c:formatCode>
                <c:ptCount val="1"/>
              </c:numCache>
            </c:numRef>
          </c:val>
        </c:ser>
        <c:ser>
          <c:idx val="79"/>
          <c:order val="79"/>
          <c:spPr>
            <a:solidFill>
              <a:srgbClr val="dfbbb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Model'!$I$15</c:f>
              <c:numCache>
                <c:formatCode>General</c:formatCode>
                <c:ptCount val="1"/>
              </c:numCache>
            </c:numRef>
          </c:val>
        </c:ser>
        <c:ser>
          <c:idx val="80"/>
          <c:order val="80"/>
          <c:spPr>
            <a:solidFill>
              <a:srgbClr val="d0ddb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Model'!$J$15</c:f>
              <c:numCache>
                <c:formatCode>General</c:formatCode>
                <c:ptCount val="1"/>
              </c:numCache>
            </c:numRef>
          </c:val>
        </c:ser>
        <c:ser>
          <c:idx val="81"/>
          <c:order val="81"/>
          <c:spPr>
            <a:solidFill>
              <a:srgbClr val="c6bfd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Model'!$K$15</c:f>
              <c:numCache>
                <c:formatCode>General</c:formatCode>
                <c:ptCount val="1"/>
              </c:numCache>
            </c:numRef>
          </c:val>
        </c:ser>
        <c:ser>
          <c:idx val="82"/>
          <c:order val="82"/>
          <c:spPr>
            <a:solidFill>
              <a:srgbClr val="bad6e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Model'!$L$15</c:f>
              <c:numCache>
                <c:formatCode>General</c:formatCode>
                <c:ptCount val="1"/>
              </c:numCache>
            </c:numRef>
          </c:val>
        </c:ser>
        <c:ser>
          <c:idx val="83"/>
          <c:order val="83"/>
          <c:spPr>
            <a:solidFill>
              <a:srgbClr val="faceb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Model'!$M$15</c:f>
              <c:numCache>
                <c:formatCode>General</c:formatCode>
                <c:ptCount val="1"/>
              </c:numCache>
            </c:numRef>
          </c:val>
        </c:ser>
        <c:ser>
          <c:idx val="84"/>
          <c:order val="84"/>
          <c:spPr>
            <a:solidFill>
              <a:srgbClr val="c7d0e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Model'!$N$15</c:f>
              <c:numCache>
                <c:formatCode>General</c:formatCode>
                <c:ptCount val="1"/>
              </c:numCache>
            </c:numRef>
          </c:val>
        </c:ser>
        <c:ser>
          <c:idx val="85"/>
          <c:order val="85"/>
          <c:spPr>
            <a:solidFill>
              <a:srgbClr val="e4c7c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Model'!$O$15</c:f>
              <c:numCache>
                <c:formatCode>General</c:formatCode>
                <c:ptCount val="1"/>
              </c:numCache>
            </c:numRef>
          </c:val>
        </c:ser>
        <c:ser>
          <c:idx val="86"/>
          <c:order val="86"/>
          <c:spPr>
            <a:solidFill>
              <a:srgbClr val="d8e2c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Model'!$P$15</c:f>
              <c:numCache>
                <c:formatCode>\$#,##0;"($"#,##0\);\-</c:formatCode>
                <c:ptCount val="1"/>
                <c:pt idx="0">
                  <c:v>495</c:v>
                </c:pt>
              </c:numCache>
            </c:numRef>
          </c:val>
        </c:ser>
        <c:ser>
          <c:idx val="87"/>
          <c:order val="87"/>
          <c:spPr>
            <a:solidFill>
              <a:srgbClr val="d0cad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Model'!$Q$15</c:f>
              <c:numCache>
                <c:formatCode>General</c:formatCode>
                <c:ptCount val="1"/>
              </c:numCache>
            </c:numRef>
          </c:val>
        </c:ser>
        <c:ser>
          <c:idx val="88"/>
          <c:order val="88"/>
          <c:spPr>
            <a:solidFill>
              <a:srgbClr val="c6dde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Model'!$R$15</c:f>
              <c:numCache>
                <c:formatCode>General</c:formatCode>
                <c:ptCount val="1"/>
              </c:numCache>
            </c:numRef>
          </c:val>
        </c:ser>
        <c:ser>
          <c:idx val="89"/>
          <c:order val="89"/>
          <c:spPr>
            <a:solidFill>
              <a:srgbClr val="fbd6c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Model'!$S$15</c:f>
              <c:numCache>
                <c:formatCode>\$#,##0;"($"#,##0\);\-</c:formatCode>
                <c:ptCount val="1"/>
                <c:pt idx="0">
                  <c:v>495</c:v>
                </c:pt>
              </c:numCache>
            </c:numRef>
          </c:val>
        </c:ser>
        <c:ser>
          <c:idx val="90"/>
          <c:order val="90"/>
          <c:spPr>
            <a:solidFill>
              <a:srgbClr val="d2dae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Model'!$T$15</c:f>
              <c:numCache>
                <c:formatCode>General</c:formatCode>
                <c:ptCount val="1"/>
              </c:numCache>
            </c:numRef>
          </c:val>
        </c:ser>
        <c:ser>
          <c:idx val="91"/>
          <c:order val="91"/>
          <c:spPr>
            <a:solidFill>
              <a:srgbClr val="e9d2d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Model'!$U$15</c:f>
              <c:numCache>
                <c:formatCode>General</c:formatCode>
                <c:ptCount val="1"/>
              </c:numCache>
            </c:numRef>
          </c:val>
        </c:ser>
        <c:ser>
          <c:idx val="92"/>
          <c:order val="92"/>
          <c:spPr>
            <a:solidFill>
              <a:srgbClr val="dfe8d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Model'!$V$15</c:f>
              <c:numCache>
                <c:formatCode>\$#,##0;"($"#,##0\);\-</c:formatCode>
                <c:ptCount val="1"/>
                <c:pt idx="0">
                  <c:v>495</c:v>
                </c:pt>
              </c:numCache>
            </c:numRef>
          </c:val>
        </c:ser>
        <c:ser>
          <c:idx val="93"/>
          <c:order val="93"/>
          <c:spPr>
            <a:solidFill>
              <a:srgbClr val="d9d5e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Model'!$W$15</c:f>
              <c:numCache>
                <c:formatCode>General</c:formatCode>
                <c:ptCount val="1"/>
              </c:numCache>
            </c:numRef>
          </c:val>
        </c:ser>
        <c:ser>
          <c:idx val="94"/>
          <c:order val="94"/>
          <c:spPr>
            <a:solidFill>
              <a:srgbClr val="d2e3e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Model'!$X$15</c:f>
              <c:numCache>
                <c:formatCode>General</c:formatCode>
                <c:ptCount val="1"/>
              </c:numCache>
            </c:numRef>
          </c:val>
        </c:ser>
        <c:ser>
          <c:idx val="95"/>
          <c:order val="95"/>
          <c:spPr>
            <a:solidFill>
              <a:srgbClr val="fbded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Model'!$Y$15</c:f>
              <c:numCache>
                <c:formatCode>\$#,##0;"($"#,##0\);\-</c:formatCode>
                <c:ptCount val="1"/>
                <c:pt idx="0">
                  <c:v>495</c:v>
                </c:pt>
              </c:numCache>
            </c:numRef>
          </c:val>
        </c:ser>
        <c:gapWidth val="150"/>
        <c:overlap val="100"/>
        <c:axId val="70965357"/>
        <c:axId val="95580196"/>
      </c:barChart>
      <c:catAx>
        <c:axId val="7096535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5580196"/>
        <c:crosses val="autoZero"/>
        <c:auto val="1"/>
        <c:lblAlgn val="ctr"/>
        <c:lblOffset val="100"/>
        <c:noMultiLvlLbl val="0"/>
      </c:catAx>
      <c:valAx>
        <c:axId val="955801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$ MRR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096535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累计P&amp;L（含开发成本，Base Case）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"累计P&amp;L"</c:f>
              <c:strCache>
                <c:ptCount val="1"/>
                <c:pt idx="0">
                  <c:v>累计P&amp;L</c:v>
                </c:pt>
              </c:strCache>
            </c:strRef>
          </c:tx>
          <c:spPr>
            <a:solidFill>
              <a:srgbClr val="1e8449"/>
            </a:solidFill>
            <a:ln w="21960">
              <a:solidFill>
                <a:srgbClr val="1e844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Model'!$B$23</c:f>
              <c:numCache>
                <c:formatCode>\$#,##0;"($"#,##0\);\-</c:formatCode>
                <c:ptCount val="1"/>
                <c:pt idx="0">
                  <c:v>-30641.7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953b38"/>
            </a:solidFill>
            <a:ln w="47520">
              <a:solidFill>
                <a:srgbClr val="953b3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Model'!$C$23</c:f>
              <c:numCache>
                <c:formatCode>\$#,##0;"($"#,##0\);\-</c:formatCode>
                <c:ptCount val="1"/>
                <c:pt idx="0">
                  <c:v>-30784.91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789142"/>
            </a:solidFill>
            <a:ln w="47520">
              <a:solidFill>
                <a:srgbClr val="78914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Model'!$D$23</c:f>
              <c:numCache>
                <c:formatCode>\$#,##0;"($"#,##0\);\-</c:formatCode>
                <c:ptCount val="1"/>
                <c:pt idx="0">
                  <c:v>-30929.63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624b7d"/>
            </a:solidFill>
            <a:ln w="47520">
              <a:solidFill>
                <a:srgbClr val="624b7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Model'!$E$23</c:f>
              <c:numCache>
                <c:formatCode>\$#,##0;"($"#,##0\);\-</c:formatCode>
                <c:ptCount val="1"/>
                <c:pt idx="0">
                  <c:v>-30976.96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37859a"/>
            </a:solidFill>
            <a:ln w="47520">
              <a:solidFill>
                <a:srgbClr val="37859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Model'!$F$23</c:f>
              <c:numCache>
                <c:formatCode>\$#,##0;"($"#,##0\);\-</c:formatCode>
                <c:ptCount val="1"/>
                <c:pt idx="0">
                  <c:v>-31016.8</c:v>
                </c:pt>
              </c:numCache>
            </c:numRef>
          </c:val>
          <c:smooth val="1"/>
        </c:ser>
        <c:ser>
          <c:idx val="5"/>
          <c:order val="5"/>
          <c:spPr>
            <a:solidFill>
              <a:srgbClr val="c07332"/>
            </a:solidFill>
            <a:ln w="47520">
              <a:solidFill>
                <a:srgbClr val="c0733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Model'!$G$23</c:f>
              <c:numCache>
                <c:formatCode>\$#,##0;"($"#,##0\);\-</c:formatCode>
                <c:ptCount val="1"/>
                <c:pt idx="0">
                  <c:v>-31040.25</c:v>
                </c:pt>
              </c:numCache>
            </c:numRef>
          </c:val>
          <c:smooth val="1"/>
        </c:ser>
        <c:ser>
          <c:idx val="6"/>
          <c:order val="6"/>
          <c:spPr>
            <a:solidFill>
              <a:srgbClr val="4475b0"/>
            </a:solidFill>
            <a:ln w="47520">
              <a:solidFill>
                <a:srgbClr val="4475b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Model'!$H$23</c:f>
              <c:numCache>
                <c:formatCode>\$#,##0;"($"#,##0\);\-</c:formatCode>
                <c:ptCount val="1"/>
                <c:pt idx="0">
                  <c:v>-30737.21</c:v>
                </c:pt>
              </c:numCache>
            </c:numRef>
          </c:val>
          <c:smooth val="1"/>
        </c:ser>
        <c:ser>
          <c:idx val="7"/>
          <c:order val="7"/>
          <c:spPr>
            <a:solidFill>
              <a:srgbClr val="b24543"/>
            </a:solidFill>
            <a:ln w="47520">
              <a:solidFill>
                <a:srgbClr val="b2454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Model'!$I$23</c:f>
              <c:numCache>
                <c:formatCode>\$#,##0;"($"#,##0\);\-</c:formatCode>
                <c:ptCount val="1"/>
                <c:pt idx="0">
                  <c:v>-30388.78</c:v>
                </c:pt>
              </c:numCache>
            </c:numRef>
          </c:val>
          <c:smooth val="1"/>
        </c:ser>
        <c:ser>
          <c:idx val="8"/>
          <c:order val="8"/>
          <c:spPr>
            <a:solidFill>
              <a:srgbClr val="8ead4f"/>
            </a:solidFill>
            <a:ln w="47520">
              <a:solidFill>
                <a:srgbClr val="8ead4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Model'!$J$23</c:f>
              <c:numCache>
                <c:formatCode>\$#,##0;"($"#,##0\);\-</c:formatCode>
                <c:ptCount val="1"/>
                <c:pt idx="0">
                  <c:v>-29994.96</c:v>
                </c:pt>
              </c:numCache>
            </c:numRef>
          </c:val>
          <c:smooth val="1"/>
        </c:ser>
        <c:ser>
          <c:idx val="9"/>
          <c:order val="9"/>
          <c:spPr>
            <a:solidFill>
              <a:srgbClr val="745994"/>
            </a:solidFill>
            <a:ln w="47520">
              <a:solidFill>
                <a:srgbClr val="74599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Model'!$K$23</c:f>
              <c:numCache>
                <c:formatCode>\$#,##0;"($"#,##0\);\-</c:formatCode>
                <c:ptCount val="1"/>
                <c:pt idx="0">
                  <c:v>-29564.65</c:v>
                </c:pt>
              </c:numCache>
            </c:numRef>
          </c:val>
          <c:smooth val="1"/>
        </c:ser>
        <c:ser>
          <c:idx val="10"/>
          <c:order val="10"/>
          <c:spPr>
            <a:solidFill>
              <a:srgbClr val="419fb7"/>
            </a:solidFill>
            <a:ln w="47520">
              <a:solidFill>
                <a:srgbClr val="419fb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Model'!$L$23</c:f>
              <c:numCache>
                <c:formatCode>\$#,##0;"($"#,##0\);\-</c:formatCode>
                <c:ptCount val="1"/>
                <c:pt idx="0">
                  <c:v>-29088.95</c:v>
                </c:pt>
              </c:numCache>
            </c:numRef>
          </c:val>
          <c:smooth val="1"/>
        </c:ser>
        <c:ser>
          <c:idx val="11"/>
          <c:order val="11"/>
          <c:spPr>
            <a:solidFill>
              <a:srgbClr val="e5883b"/>
            </a:solidFill>
            <a:ln w="47520">
              <a:solidFill>
                <a:srgbClr val="e5883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Model'!$M$23</c:f>
              <c:numCache>
                <c:formatCode>\$#,##0;"($"#,##0\);\-</c:formatCode>
                <c:ptCount val="1"/>
                <c:pt idx="0">
                  <c:v>-28558.96</c:v>
                </c:pt>
              </c:numCache>
            </c:numRef>
          </c:val>
          <c:smooth val="1"/>
        </c:ser>
        <c:ser>
          <c:idx val="12"/>
          <c:order val="12"/>
          <c:spPr>
            <a:solidFill>
              <a:srgbClr val="7997c4"/>
            </a:solidFill>
            <a:ln w="47520">
              <a:solidFill>
                <a:srgbClr val="7997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Model'!$N$23</c:f>
              <c:numCache>
                <c:formatCode>\$#,##0;"($"#,##0\);\-</c:formatCode>
                <c:ptCount val="1"/>
                <c:pt idx="0">
                  <c:v>-27395.48</c:v>
                </c:pt>
              </c:numCache>
            </c:numRef>
          </c:val>
          <c:smooth val="1"/>
        </c:ser>
        <c:ser>
          <c:idx val="13"/>
          <c:order val="13"/>
          <c:spPr>
            <a:solidFill>
              <a:srgbClr val="c77978"/>
            </a:solidFill>
            <a:ln w="47520">
              <a:solidFill>
                <a:srgbClr val="c7797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Model'!$O$23</c:f>
              <c:numCache>
                <c:formatCode>\$#,##0;"($"#,##0\);\-</c:formatCode>
                <c:ptCount val="1"/>
                <c:pt idx="0">
                  <c:v>-25987.61</c:v>
                </c:pt>
              </c:numCache>
            </c:numRef>
          </c:val>
          <c:smooth val="1"/>
        </c:ser>
        <c:ser>
          <c:idx val="14"/>
          <c:order val="14"/>
          <c:spPr>
            <a:solidFill>
              <a:srgbClr val="a9c37e"/>
            </a:solidFill>
            <a:ln w="47520">
              <a:solidFill>
                <a:srgbClr val="a9c37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Model'!$P$23</c:f>
              <c:numCache>
                <c:formatCode>\$#,##0;"($"#,##0\);\-</c:formatCode>
                <c:ptCount val="1"/>
                <c:pt idx="0">
                  <c:v>-23840.35</c:v>
                </c:pt>
              </c:numCache>
            </c:numRef>
          </c:val>
          <c:smooth val="1"/>
        </c:ser>
        <c:ser>
          <c:idx val="15"/>
          <c:order val="15"/>
          <c:spPr>
            <a:solidFill>
              <a:srgbClr val="9684af"/>
            </a:solidFill>
            <a:ln w="47520">
              <a:solidFill>
                <a:srgbClr val="9684a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Model'!$Q$23</c:f>
              <c:numCache>
                <c:formatCode>\$#,##0;"($"#,##0\);\-</c:formatCode>
                <c:ptCount val="1"/>
                <c:pt idx="0">
                  <c:v>-21943.7</c:v>
                </c:pt>
              </c:numCache>
            </c:numRef>
          </c:val>
          <c:smooth val="1"/>
        </c:ser>
        <c:ser>
          <c:idx val="16"/>
          <c:order val="16"/>
          <c:spPr>
            <a:solidFill>
              <a:srgbClr val="77b6cc"/>
            </a:solidFill>
            <a:ln w="47520">
              <a:solidFill>
                <a:srgbClr val="77b6c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Model'!$R$23</c:f>
              <c:numCache>
                <c:formatCode>\$#,##0;"($"#,##0\);\-</c:formatCode>
                <c:ptCount val="1"/>
                <c:pt idx="0">
                  <c:v>-19793.76</c:v>
                </c:pt>
              </c:numCache>
            </c:numRef>
          </c:val>
          <c:smooth val="1"/>
        </c:ser>
        <c:ser>
          <c:idx val="17"/>
          <c:order val="17"/>
          <c:spPr>
            <a:solidFill>
              <a:srgbClr val="f5a574"/>
            </a:solidFill>
            <a:ln w="47520">
              <a:solidFill>
                <a:srgbClr val="f5a57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Model'!$S$23</c:f>
              <c:numCache>
                <c:formatCode>\$#,##0;"($"#,##0\);\-</c:formatCode>
                <c:ptCount val="1"/>
                <c:pt idx="0">
                  <c:v>-16904.43</c:v>
                </c:pt>
              </c:numCache>
            </c:numRef>
          </c:val>
          <c:smooth val="1"/>
        </c:ser>
        <c:ser>
          <c:idx val="18"/>
          <c:order val="18"/>
          <c:spPr>
            <a:solidFill>
              <a:srgbClr val="b0bed7"/>
            </a:solidFill>
            <a:ln w="47520">
              <a:solidFill>
                <a:srgbClr val="b0bed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Model'!$T$23</c:f>
              <c:numCache>
                <c:formatCode>\$#,##0;"($"#,##0\);\-</c:formatCode>
                <c:ptCount val="1"/>
                <c:pt idx="0">
                  <c:v>-14256.81</c:v>
                </c:pt>
              </c:numCache>
            </c:numRef>
          </c:val>
          <c:smooth val="1"/>
        </c:ser>
        <c:ser>
          <c:idx val="19"/>
          <c:order val="19"/>
          <c:spPr>
            <a:solidFill>
              <a:srgbClr val="d9b0b0"/>
            </a:solidFill>
            <a:ln w="47520">
              <a:solidFill>
                <a:srgbClr val="d9b0b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Model'!$U$23</c:f>
              <c:numCache>
                <c:formatCode>\$#,##0;"($"#,##0\);\-</c:formatCode>
                <c:ptCount val="1"/>
                <c:pt idx="0">
                  <c:v>-11355.9</c:v>
                </c:pt>
              </c:numCache>
            </c:numRef>
          </c:val>
          <c:smooth val="1"/>
        </c:ser>
        <c:ser>
          <c:idx val="20"/>
          <c:order val="20"/>
          <c:spPr>
            <a:solidFill>
              <a:srgbClr val="c7d6b1"/>
            </a:solidFill>
            <a:ln w="47520">
              <a:solidFill>
                <a:srgbClr val="c7d6b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Model'!$V$23</c:f>
              <c:numCache>
                <c:formatCode>\$#,##0;"($"#,##0\);\-</c:formatCode>
                <c:ptCount val="1"/>
                <c:pt idx="0">
                  <c:v>-7706.7</c:v>
                </c:pt>
              </c:numCache>
            </c:numRef>
          </c:val>
          <c:smooth val="1"/>
        </c:ser>
        <c:ser>
          <c:idx val="21"/>
          <c:order val="21"/>
          <c:spPr>
            <a:solidFill>
              <a:srgbClr val="bdb4cb"/>
            </a:solidFill>
            <a:ln w="47520">
              <a:solidFill>
                <a:srgbClr val="bdb4c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Model'!$W$23</c:f>
              <c:numCache>
                <c:formatCode>\$#,##0;"($"#,##0\);\-</c:formatCode>
                <c:ptCount val="1"/>
                <c:pt idx="0">
                  <c:v>-4299.21</c:v>
                </c:pt>
              </c:numCache>
            </c:numRef>
          </c:val>
          <c:smooth val="1"/>
        </c:ser>
        <c:ser>
          <c:idx val="22"/>
          <c:order val="22"/>
          <c:spPr>
            <a:solidFill>
              <a:srgbClr val="b0cfdc"/>
            </a:solidFill>
            <a:ln w="47520">
              <a:solidFill>
                <a:srgbClr val="b0cfd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Model'!$X$23</c:f>
              <c:numCache>
                <c:formatCode>\$#,##0;"($"#,##0\);\-</c:formatCode>
                <c:ptCount val="1"/>
                <c:pt idx="0">
                  <c:v>-837.430000000002</c:v>
                </c:pt>
              </c:numCache>
            </c:numRef>
          </c:val>
          <c:smooth val="1"/>
        </c:ser>
        <c:ser>
          <c:idx val="23"/>
          <c:order val="23"/>
          <c:spPr>
            <a:solidFill>
              <a:srgbClr val="f6c4ae"/>
            </a:solidFill>
            <a:ln w="47520">
              <a:solidFill>
                <a:srgbClr val="f6c4a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'Monthly Model'!$B$4:$Y$4</c:f>
              <c:multiLvlStrCache>
                <c:ptCount val="1"/>
                <c:lvl>
                  <c:pt idx="0">
                    <c:v>M24
(Y2)</c:v>
                  </c:pt>
                </c:lvl>
                <c:lvl>
                  <c:pt idx="0">
                    <c:v>M23
(Y2)</c:v>
                  </c:pt>
                </c:lvl>
                <c:lvl>
                  <c:pt idx="0">
                    <c:v>M22
(Y2)</c:v>
                  </c:pt>
                </c:lvl>
                <c:lvl>
                  <c:pt idx="0">
                    <c:v>M21
(Y2)</c:v>
                  </c:pt>
                </c:lvl>
                <c:lvl>
                  <c:pt idx="0">
                    <c:v>M20
(Y2)</c:v>
                  </c:pt>
                </c:lvl>
                <c:lvl>
                  <c:pt idx="0">
                    <c:v>M19
(Y2)</c:v>
                  </c:pt>
                </c:lvl>
                <c:lvl>
                  <c:pt idx="0">
                    <c:v>M18
(Y2)</c:v>
                  </c:pt>
                </c:lvl>
                <c:lvl>
                  <c:pt idx="0">
                    <c:v>M17
(Y2)</c:v>
                  </c:pt>
                </c:lvl>
                <c:lvl>
                  <c:pt idx="0">
                    <c:v>M16
(Y2)</c:v>
                  </c:pt>
                </c:lvl>
                <c:lvl>
                  <c:pt idx="0">
                    <c:v>M15
(Y2)</c:v>
                  </c:pt>
                </c:lvl>
                <c:lvl>
                  <c:pt idx="0">
                    <c:v>M14
(Y2)</c:v>
                  </c:pt>
                </c:lvl>
                <c:lvl>
                  <c:pt idx="0">
                    <c:v>M13
(Y2)</c:v>
                  </c:pt>
                </c:lvl>
                <c:lvl>
                  <c:pt idx="0">
                    <c:v>M12
(Y1)</c:v>
                  </c:pt>
                </c:lvl>
                <c:lvl>
                  <c:pt idx="0">
                    <c:v>M11
(Y1)</c:v>
                  </c:pt>
                </c:lvl>
                <c:lvl>
                  <c:pt idx="0">
                    <c:v>M10
(Y1)</c:v>
                  </c:pt>
                </c:lvl>
                <c:lvl>
                  <c:pt idx="0">
                    <c:v>M9
(Y1)</c:v>
                  </c:pt>
                </c:lvl>
                <c:lvl>
                  <c:pt idx="0">
                    <c:v>M8
(Y1)</c:v>
                  </c:pt>
                </c:lvl>
                <c:lvl>
                  <c:pt idx="0">
                    <c:v>M7
(Y1)</c:v>
                  </c:pt>
                </c:lvl>
                <c:lvl>
                  <c:pt idx="0">
                    <c:v>M6
(Y1)</c:v>
                  </c:pt>
                </c:lvl>
                <c:lvl>
                  <c:pt idx="0">
                    <c:v>M5
(Y1)</c:v>
                  </c:pt>
                </c:lvl>
                <c:lvl>
                  <c:pt idx="0">
                    <c:v>M4
(Y1)</c:v>
                  </c:pt>
                </c:lvl>
                <c:lvl>
                  <c:pt idx="0">
                    <c:v>M3
(Y1)</c:v>
                  </c:pt>
                </c:lvl>
                <c:lvl>
                  <c:pt idx="0">
                    <c:v>M2
(Y1)</c:v>
                  </c:pt>
                </c:lvl>
                <c:lvl>
                  <c:pt idx="0">
                    <c:v>M1
(Y1)</c:v>
                  </c:pt>
                </c:lvl>
              </c:multiLvlStrCache>
            </c:multiLvlStrRef>
          </c:cat>
          <c:val>
            <c:numRef>
              <c:f>'Monthly Model'!$Y$23</c:f>
              <c:numCache>
                <c:formatCode>\$#,##0;"($"#,##0\);\-</c:formatCode>
                <c:ptCount val="1"/>
                <c:pt idx="0">
                  <c:v>3211.54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0334254"/>
        <c:axId val="61955861"/>
      </c:lineChart>
      <c:catAx>
        <c:axId val="5033425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1955861"/>
        <c:crosses val="autoZero"/>
        <c:auto val="1"/>
        <c:lblAlgn val="ctr"/>
        <c:lblOffset val="100"/>
        <c:noMultiLvlLbl val="0"/>
      </c:catAx>
      <c:valAx>
        <c:axId val="619558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累计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033425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15</xdr:col>
      <xdr:colOff>78840</xdr:colOff>
      <xdr:row>28</xdr:row>
      <xdr:rowOff>86400</xdr:rowOff>
    </xdr:to>
    <xdr:graphicFrame>
      <xdr:nvGraphicFramePr>
        <xdr:cNvPr id="0" name="Chart 1"/>
        <xdr:cNvGraphicFramePr/>
      </xdr:nvGraphicFramePr>
      <xdr:xfrm>
        <a:off x="141120" y="695160"/>
        <a:ext cx="863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34</xdr:row>
      <xdr:rowOff>0</xdr:rowOff>
    </xdr:from>
    <xdr:to>
      <xdr:col>15</xdr:col>
      <xdr:colOff>78840</xdr:colOff>
      <xdr:row>60</xdr:row>
      <xdr:rowOff>86760</xdr:rowOff>
    </xdr:to>
    <xdr:graphicFrame>
      <xdr:nvGraphicFramePr>
        <xdr:cNvPr id="1" name="Chart 2"/>
        <xdr:cNvGraphicFramePr/>
      </xdr:nvGraphicFramePr>
      <xdr:xfrm>
        <a:off x="141120" y="6791400"/>
        <a:ext cx="863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0</xdr:colOff>
      <xdr:row>2</xdr:row>
      <xdr:rowOff>0</xdr:rowOff>
    </xdr:from>
    <xdr:to>
      <xdr:col>27</xdr:col>
      <xdr:colOff>78480</xdr:colOff>
      <xdr:row>28</xdr:row>
      <xdr:rowOff>86400</xdr:rowOff>
    </xdr:to>
    <xdr:graphicFrame>
      <xdr:nvGraphicFramePr>
        <xdr:cNvPr id="2" name="Chart 3"/>
        <xdr:cNvGraphicFramePr/>
      </xdr:nvGraphicFramePr>
      <xdr:xfrm>
        <a:off x="7479000" y="695160"/>
        <a:ext cx="863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0</xdr:colOff>
      <xdr:row>34</xdr:row>
      <xdr:rowOff>0</xdr:rowOff>
    </xdr:from>
    <xdr:to>
      <xdr:col>27</xdr:col>
      <xdr:colOff>78480</xdr:colOff>
      <xdr:row>60</xdr:row>
      <xdr:rowOff>86760</xdr:rowOff>
    </xdr:to>
    <xdr:graphicFrame>
      <xdr:nvGraphicFramePr>
        <xdr:cNvPr id="3" name="Chart 4"/>
        <xdr:cNvGraphicFramePr/>
      </xdr:nvGraphicFramePr>
      <xdr:xfrm>
        <a:off x="7479000" y="6791400"/>
        <a:ext cx="863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10" min="2" style="0" width="16"/>
  </cols>
  <sheetData>
    <row r="1" customFormat="false" ht="43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9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21.75" hidden="false" customHeight="true" outlineLevel="0" collapsed="false">
      <c r="A4" s="4" t="s">
        <v>3</v>
      </c>
      <c r="B4" s="4"/>
      <c r="C4" s="4" t="s">
        <v>4</v>
      </c>
      <c r="D4" s="4"/>
      <c r="E4" s="4" t="s">
        <v>5</v>
      </c>
      <c r="F4" s="4"/>
      <c r="G4" s="5" t="s">
        <v>6</v>
      </c>
      <c r="H4" s="5"/>
      <c r="I4" s="5" t="s">
        <v>7</v>
      </c>
      <c r="J4" s="5"/>
    </row>
    <row r="5" customFormat="false" ht="27.75" hidden="false" customHeight="true" outlineLevel="0" collapsed="false">
      <c r="A5" s="6" t="n">
        <f aca="false">'Monthly Model'!G16</f>
        <v>126</v>
      </c>
      <c r="C5" s="6" t="n">
        <f aca="false">'Monthly Model'!M16</f>
        <v>689</v>
      </c>
      <c r="E5" s="6" t="n">
        <f aca="false">'Monthly Model'!Y16</f>
        <v>4228</v>
      </c>
      <c r="G5" s="7" t="n">
        <f aca="false">'Monthly Model'!G6</f>
        <v>465</v>
      </c>
      <c r="I5" s="7" t="n">
        <f aca="false">'Monthly Model'!M6</f>
        <v>824</v>
      </c>
    </row>
    <row r="7" customFormat="false" ht="19.5" hidden="false" customHeight="true" outlineLevel="0" collapsed="false">
      <c r="A7" s="8" t="s">
        <v>8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customFormat="false" ht="15" hidden="false" customHeight="true" outlineLevel="0" collapsed="false">
      <c r="A8" s="9" t="s">
        <v>9</v>
      </c>
      <c r="B8" s="10" t="n">
        <f aca="false">Assumptions!B16</f>
        <v>305</v>
      </c>
      <c r="C8" s="10"/>
      <c r="D8" s="10"/>
      <c r="E8" s="10"/>
      <c r="F8" s="10"/>
      <c r="G8" s="11" t="s">
        <v>10</v>
      </c>
      <c r="H8" s="11"/>
      <c r="I8" s="11"/>
      <c r="J8" s="11"/>
    </row>
    <row r="9" customFormat="false" ht="15" hidden="false" customHeight="true" outlineLevel="0" collapsed="false">
      <c r="A9" s="12" t="s">
        <v>11</v>
      </c>
      <c r="B9" s="13" t="n">
        <f aca="false">Assumptions!B17</f>
        <v>30500</v>
      </c>
      <c r="C9" s="13"/>
      <c r="D9" s="13"/>
      <c r="E9" s="13"/>
      <c r="F9" s="13"/>
      <c r="G9" s="14" t="s">
        <v>12</v>
      </c>
      <c r="H9" s="14"/>
      <c r="I9" s="14"/>
      <c r="J9" s="14"/>
    </row>
    <row r="10" customFormat="false" ht="15" hidden="false" customHeight="true" outlineLevel="0" collapsed="false">
      <c r="A10" s="9" t="s">
        <v>13</v>
      </c>
      <c r="B10" s="15" t="n">
        <f aca="false">Assumptions!B28</f>
        <v>141</v>
      </c>
      <c r="C10" s="15"/>
      <c r="D10" s="15"/>
      <c r="E10" s="15"/>
      <c r="F10" s="15"/>
      <c r="G10" s="11" t="s">
        <v>14</v>
      </c>
      <c r="H10" s="11"/>
      <c r="I10" s="11"/>
      <c r="J10" s="11"/>
    </row>
    <row r="11" customFormat="false" ht="15" hidden="false" customHeight="true" outlineLevel="0" collapsed="false">
      <c r="A11" s="16" t="s">
        <v>15</v>
      </c>
      <c r="B11" s="13" t="n">
        <f aca="false">Assumptions!B28*12</f>
        <v>1692</v>
      </c>
      <c r="C11" s="13"/>
      <c r="D11" s="13"/>
      <c r="E11" s="13"/>
      <c r="F11" s="13"/>
      <c r="G11" s="14" t="s">
        <v>16</v>
      </c>
      <c r="H11" s="14"/>
      <c r="I11" s="14"/>
      <c r="J11" s="14"/>
    </row>
    <row r="12" customFormat="false" ht="15" hidden="false" customHeight="true" outlineLevel="0" collapsed="false">
      <c r="A12" s="9" t="s">
        <v>17</v>
      </c>
      <c r="B12" s="15" t="n">
        <f aca="false">Assumptions!B17+Assumptions!B28*12</f>
        <v>32192</v>
      </c>
      <c r="C12" s="15"/>
      <c r="D12" s="15"/>
      <c r="E12" s="15"/>
      <c r="F12" s="15"/>
      <c r="G12" s="11" t="s">
        <v>16</v>
      </c>
      <c r="H12" s="11"/>
      <c r="I12" s="11"/>
      <c r="J12" s="11"/>
    </row>
    <row r="14" customFormat="false" ht="19.5" hidden="false" customHeight="true" outlineLevel="0" collapsed="false">
      <c r="A14" s="17" t="s">
        <v>18</v>
      </c>
      <c r="B14" s="17"/>
      <c r="C14" s="17"/>
      <c r="D14" s="17"/>
      <c r="E14" s="17"/>
      <c r="F14" s="17"/>
      <c r="G14" s="17"/>
      <c r="H14" s="17"/>
      <c r="I14" s="17"/>
      <c r="J14" s="17"/>
    </row>
    <row r="15" customFormat="false" ht="21.75" hidden="false" customHeight="true" outlineLevel="0" collapsed="false">
      <c r="A15" s="18" t="s">
        <v>19</v>
      </c>
      <c r="B15" s="19" t="s">
        <v>20</v>
      </c>
      <c r="C15" s="19"/>
      <c r="D15" s="19"/>
      <c r="E15" s="20" t="s">
        <v>21</v>
      </c>
      <c r="F15" s="20"/>
      <c r="G15" s="20"/>
      <c r="H15" s="20"/>
      <c r="I15" s="20"/>
      <c r="J15" s="20"/>
    </row>
    <row r="16" customFormat="false" ht="21.75" hidden="false" customHeight="true" outlineLevel="0" collapsed="false">
      <c r="A16" s="21" t="s">
        <v>22</v>
      </c>
      <c r="B16" s="22" t="s">
        <v>23</v>
      </c>
      <c r="C16" s="22"/>
      <c r="D16" s="22"/>
      <c r="E16" s="23" t="s">
        <v>24</v>
      </c>
      <c r="F16" s="23"/>
      <c r="G16" s="23"/>
      <c r="H16" s="23"/>
      <c r="I16" s="23"/>
      <c r="J16" s="23"/>
    </row>
    <row r="17" customFormat="false" ht="21.75" hidden="false" customHeight="true" outlineLevel="0" collapsed="false">
      <c r="A17" s="24" t="s">
        <v>25</v>
      </c>
      <c r="B17" s="25" t="s">
        <v>26</v>
      </c>
      <c r="C17" s="25"/>
      <c r="D17" s="25"/>
      <c r="E17" s="26" t="s">
        <v>27</v>
      </c>
      <c r="F17" s="26"/>
      <c r="G17" s="26"/>
      <c r="H17" s="26"/>
      <c r="I17" s="26"/>
      <c r="J17" s="26"/>
    </row>
    <row r="18" customFormat="false" ht="21.75" hidden="false" customHeight="true" outlineLevel="0" collapsed="false">
      <c r="A18" s="27" t="s">
        <v>28</v>
      </c>
      <c r="B18" s="28" t="s">
        <v>29</v>
      </c>
      <c r="C18" s="28"/>
      <c r="D18" s="28"/>
      <c r="E18" s="29" t="s">
        <v>30</v>
      </c>
      <c r="F18" s="29"/>
      <c r="G18" s="29"/>
      <c r="H18" s="29"/>
      <c r="I18" s="29"/>
      <c r="J18" s="29"/>
    </row>
    <row r="20" customFormat="false" ht="19.5" hidden="false" customHeight="true" outlineLevel="0" collapsed="false">
      <c r="A20" s="30" t="s">
        <v>31</v>
      </c>
      <c r="B20" s="30"/>
      <c r="C20" s="30"/>
      <c r="D20" s="30"/>
      <c r="E20" s="30"/>
      <c r="F20" s="30"/>
      <c r="G20" s="30"/>
      <c r="H20" s="30"/>
      <c r="I20" s="30"/>
      <c r="J20" s="30"/>
    </row>
    <row r="21" customFormat="false" ht="19.5" hidden="false" customHeight="true" outlineLevel="0" collapsed="false">
      <c r="A21" s="31" t="s">
        <v>32</v>
      </c>
      <c r="B21" s="32" t="s">
        <v>33</v>
      </c>
      <c r="C21" s="32"/>
      <c r="D21" s="32"/>
      <c r="E21" s="32"/>
      <c r="F21" s="33" t="s">
        <v>34</v>
      </c>
      <c r="G21" s="33"/>
      <c r="H21" s="33"/>
      <c r="I21" s="33"/>
      <c r="J21" s="33"/>
    </row>
    <row r="22" customFormat="false" ht="19.5" hidden="false" customHeight="true" outlineLevel="0" collapsed="false">
      <c r="A22" s="34" t="s">
        <v>35</v>
      </c>
      <c r="B22" s="35" t="s">
        <v>36</v>
      </c>
      <c r="C22" s="35"/>
      <c r="D22" s="35"/>
      <c r="E22" s="35"/>
      <c r="F22" s="36" t="s">
        <v>37</v>
      </c>
      <c r="G22" s="36"/>
      <c r="H22" s="36"/>
      <c r="I22" s="36"/>
      <c r="J22" s="36"/>
    </row>
    <row r="23" customFormat="false" ht="19.5" hidden="false" customHeight="true" outlineLevel="0" collapsed="false">
      <c r="A23" s="31" t="s">
        <v>38</v>
      </c>
      <c r="B23" s="32" t="s">
        <v>39</v>
      </c>
      <c r="C23" s="32"/>
      <c r="D23" s="32"/>
      <c r="E23" s="32"/>
      <c r="F23" s="33" t="s">
        <v>40</v>
      </c>
      <c r="G23" s="33"/>
      <c r="H23" s="33"/>
      <c r="I23" s="33"/>
      <c r="J23" s="33"/>
    </row>
    <row r="24" customFormat="false" ht="19.5" hidden="false" customHeight="true" outlineLevel="0" collapsed="false">
      <c r="A24" s="34" t="s">
        <v>41</v>
      </c>
      <c r="B24" s="35" t="s">
        <v>42</v>
      </c>
      <c r="C24" s="35"/>
      <c r="D24" s="35"/>
      <c r="E24" s="35"/>
      <c r="F24" s="36" t="s">
        <v>43</v>
      </c>
      <c r="G24" s="36"/>
      <c r="H24" s="36"/>
      <c r="I24" s="36"/>
      <c r="J24" s="36"/>
    </row>
  </sheetData>
  <mergeCells count="37">
    <mergeCell ref="A1:J1"/>
    <mergeCell ref="A2:J2"/>
    <mergeCell ref="A3:Z3"/>
    <mergeCell ref="A4:B4"/>
    <mergeCell ref="C4:D4"/>
    <mergeCell ref="E4:F4"/>
    <mergeCell ref="G4:H4"/>
    <mergeCell ref="I4:J4"/>
    <mergeCell ref="A7:Z7"/>
    <mergeCell ref="B8:F8"/>
    <mergeCell ref="G8:J8"/>
    <mergeCell ref="B9:F9"/>
    <mergeCell ref="G9:J9"/>
    <mergeCell ref="B10:F10"/>
    <mergeCell ref="G10:J10"/>
    <mergeCell ref="B11:F11"/>
    <mergeCell ref="G11:J11"/>
    <mergeCell ref="B12:F12"/>
    <mergeCell ref="G12:J12"/>
    <mergeCell ref="A14:J14"/>
    <mergeCell ref="B15:D15"/>
    <mergeCell ref="E15:J15"/>
    <mergeCell ref="B16:D16"/>
    <mergeCell ref="E16:J16"/>
    <mergeCell ref="B17:D17"/>
    <mergeCell ref="E17:J17"/>
    <mergeCell ref="B18:D18"/>
    <mergeCell ref="E18:J18"/>
    <mergeCell ref="A20:J20"/>
    <mergeCell ref="B21:E21"/>
    <mergeCell ref="F21:J21"/>
    <mergeCell ref="B22:E22"/>
    <mergeCell ref="F22:J22"/>
    <mergeCell ref="B23:E23"/>
    <mergeCell ref="F23:J23"/>
    <mergeCell ref="B24:E24"/>
    <mergeCell ref="F24:J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8"/>
    <col collapsed="false" customWidth="true" hidden="false" outlineLevel="0" max="3" min="3" style="0" width="28"/>
    <col collapsed="false" customWidth="true" hidden="false" outlineLevel="0" max="4" min="4" style="0" width="18"/>
    <col collapsed="false" customWidth="true" hidden="false" outlineLevel="0" max="5" min="5" style="0" width="28"/>
  </cols>
  <sheetData>
    <row r="1" customFormat="false" ht="36" hidden="false" customHeight="true" outlineLevel="0" collapsed="false">
      <c r="A1" s="37" t="s">
        <v>44</v>
      </c>
      <c r="B1" s="37"/>
      <c r="C1" s="37"/>
      <c r="D1" s="37"/>
      <c r="E1" s="37"/>
    </row>
    <row r="2" customFormat="false" ht="15.75" hidden="false" customHeight="true" outlineLevel="0" collapsed="false">
      <c r="A2" s="38" t="s">
        <v>45</v>
      </c>
    </row>
    <row r="4" customFormat="false" ht="21.75" hidden="false" customHeight="true" outlineLevel="0" collapsed="false">
      <c r="A4" s="39" t="s">
        <v>46</v>
      </c>
      <c r="B4" s="39"/>
      <c r="C4" s="39"/>
      <c r="D4" s="39"/>
      <c r="E4" s="39"/>
    </row>
    <row r="5" customFormat="false" ht="15" hidden="false" customHeight="false" outlineLevel="0" collapsed="false">
      <c r="A5" s="40" t="s">
        <v>47</v>
      </c>
      <c r="B5" s="40" t="s">
        <v>48</v>
      </c>
      <c r="C5" s="40" t="s">
        <v>49</v>
      </c>
      <c r="D5" s="40" t="s">
        <v>50</v>
      </c>
    </row>
    <row r="6" customFormat="false" ht="22.35" hidden="false" customHeight="false" outlineLevel="0" collapsed="false">
      <c r="A6" s="18" t="s">
        <v>51</v>
      </c>
      <c r="B6" s="41" t="n">
        <v>100</v>
      </c>
      <c r="C6" s="42" t="s">
        <v>52</v>
      </c>
      <c r="D6" s="43" t="s">
        <v>53</v>
      </c>
    </row>
    <row r="7" customFormat="false" ht="15" hidden="false" customHeight="false" outlineLevel="0" collapsed="false">
      <c r="A7" s="16" t="s">
        <v>54</v>
      </c>
      <c r="B7" s="44" t="n">
        <v>20</v>
      </c>
      <c r="C7" s="45" t="s">
        <v>55</v>
      </c>
      <c r="D7" s="46" t="s">
        <v>10</v>
      </c>
    </row>
    <row r="8" customFormat="false" ht="22.35" hidden="false" customHeight="false" outlineLevel="0" collapsed="false">
      <c r="A8" s="47" t="s">
        <v>56</v>
      </c>
      <c r="B8" s="44" t="n">
        <v>50</v>
      </c>
      <c r="C8" s="42" t="s">
        <v>57</v>
      </c>
      <c r="D8" s="43" t="s">
        <v>10</v>
      </c>
    </row>
    <row r="9" customFormat="false" ht="22.35" hidden="false" customHeight="false" outlineLevel="0" collapsed="false">
      <c r="A9" s="12" t="s">
        <v>58</v>
      </c>
      <c r="B9" s="44" t="n">
        <v>30</v>
      </c>
      <c r="C9" s="45" t="s">
        <v>59</v>
      </c>
      <c r="D9" s="46" t="s">
        <v>10</v>
      </c>
    </row>
    <row r="10" customFormat="false" ht="15" hidden="false" customHeight="false" outlineLevel="0" collapsed="false">
      <c r="A10" s="18" t="s">
        <v>60</v>
      </c>
      <c r="B10" s="44" t="n">
        <v>40</v>
      </c>
      <c r="C10" s="42" t="s">
        <v>61</v>
      </c>
      <c r="D10" s="43" t="s">
        <v>10</v>
      </c>
    </row>
    <row r="11" customFormat="false" ht="15" hidden="false" customHeight="false" outlineLevel="0" collapsed="false">
      <c r="A11" s="12" t="s">
        <v>62</v>
      </c>
      <c r="B11" s="44" t="n">
        <v>50</v>
      </c>
      <c r="C11" s="48" t="s">
        <v>63</v>
      </c>
      <c r="D11" s="46" t="s">
        <v>10</v>
      </c>
    </row>
    <row r="12" customFormat="false" ht="15" hidden="false" customHeight="false" outlineLevel="0" collapsed="false">
      <c r="A12" s="18" t="s">
        <v>64</v>
      </c>
      <c r="B12" s="44" t="n">
        <v>35</v>
      </c>
      <c r="C12" s="42" t="s">
        <v>65</v>
      </c>
      <c r="D12" s="43" t="s">
        <v>10</v>
      </c>
    </row>
    <row r="13" customFormat="false" ht="15" hidden="false" customHeight="false" outlineLevel="0" collapsed="false">
      <c r="A13" s="16" t="s">
        <v>66</v>
      </c>
      <c r="B13" s="44" t="n">
        <v>20</v>
      </c>
      <c r="C13" s="48" t="s">
        <v>67</v>
      </c>
      <c r="D13" s="46" t="s">
        <v>10</v>
      </c>
    </row>
    <row r="14" customFormat="false" ht="15" hidden="false" customHeight="false" outlineLevel="0" collapsed="false">
      <c r="A14" s="47" t="s">
        <v>68</v>
      </c>
      <c r="B14" s="44" t="n">
        <v>30</v>
      </c>
      <c r="C14" s="49" t="s">
        <v>69</v>
      </c>
      <c r="D14" s="43" t="s">
        <v>10</v>
      </c>
    </row>
    <row r="15" customFormat="false" ht="15" hidden="false" customHeight="false" outlineLevel="0" collapsed="false">
      <c r="A15" s="16" t="s">
        <v>70</v>
      </c>
      <c r="B15" s="44" t="n">
        <v>30</v>
      </c>
      <c r="C15" s="45" t="s">
        <v>71</v>
      </c>
      <c r="D15" s="46" t="s">
        <v>10</v>
      </c>
    </row>
    <row r="16" customFormat="false" ht="19.5" hidden="false" customHeight="true" outlineLevel="0" collapsed="false">
      <c r="A16" s="50" t="s">
        <v>72</v>
      </c>
      <c r="B16" s="51" t="n">
        <f aca="false">SUM(B7:B15)</f>
        <v>305</v>
      </c>
      <c r="C16" s="52" t="s">
        <v>73</v>
      </c>
      <c r="D16" s="53" t="s">
        <v>10</v>
      </c>
    </row>
    <row r="17" customFormat="false" ht="19.5" hidden="false" customHeight="true" outlineLevel="0" collapsed="false">
      <c r="A17" s="50" t="s">
        <v>74</v>
      </c>
      <c r="B17" s="54" t="n">
        <f aca="false">B6*B16</f>
        <v>30500</v>
      </c>
      <c r="C17" s="52" t="s">
        <v>75</v>
      </c>
      <c r="D17" s="53" t="s">
        <v>53</v>
      </c>
    </row>
    <row r="19" customFormat="false" ht="21.75" hidden="false" customHeight="true" outlineLevel="0" collapsed="false">
      <c r="A19" s="39" t="s">
        <v>76</v>
      </c>
      <c r="B19" s="39"/>
      <c r="C19" s="39"/>
      <c r="D19" s="39"/>
      <c r="E19" s="39"/>
    </row>
    <row r="20" customFormat="false" ht="15" hidden="false" customHeight="false" outlineLevel="0" collapsed="false">
      <c r="A20" s="40" t="s">
        <v>47</v>
      </c>
      <c r="B20" s="40" t="s">
        <v>48</v>
      </c>
      <c r="C20" s="40" t="s">
        <v>49</v>
      </c>
      <c r="D20" s="40" t="s">
        <v>50</v>
      </c>
    </row>
    <row r="21" customFormat="false" ht="22.35" hidden="false" customHeight="false" outlineLevel="0" collapsed="false">
      <c r="A21" s="16" t="s">
        <v>77</v>
      </c>
      <c r="B21" s="41" t="n">
        <v>20</v>
      </c>
      <c r="C21" s="45" t="s">
        <v>78</v>
      </c>
      <c r="D21" s="46" t="s">
        <v>53</v>
      </c>
    </row>
    <row r="22" customFormat="false" ht="15" hidden="false" customHeight="false" outlineLevel="0" collapsed="false">
      <c r="A22" s="47" t="s">
        <v>79</v>
      </c>
      <c r="B22" s="41" t="n">
        <v>57</v>
      </c>
      <c r="C22" s="42" t="s">
        <v>80</v>
      </c>
      <c r="D22" s="43" t="s">
        <v>53</v>
      </c>
    </row>
    <row r="23" customFormat="false" ht="22.35" hidden="false" customHeight="false" outlineLevel="0" collapsed="false">
      <c r="A23" s="16" t="s">
        <v>81</v>
      </c>
      <c r="B23" s="41" t="n">
        <v>28</v>
      </c>
      <c r="C23" s="48" t="s">
        <v>82</v>
      </c>
      <c r="D23" s="46" t="s">
        <v>53</v>
      </c>
    </row>
    <row r="24" customFormat="false" ht="15" hidden="false" customHeight="false" outlineLevel="0" collapsed="false">
      <c r="A24" s="47" t="s">
        <v>83</v>
      </c>
      <c r="B24" s="41" t="n">
        <v>7</v>
      </c>
      <c r="C24" s="49" t="s">
        <v>84</v>
      </c>
      <c r="D24" s="43" t="s">
        <v>53</v>
      </c>
    </row>
    <row r="25" customFormat="false" ht="22.35" hidden="false" customHeight="false" outlineLevel="0" collapsed="false">
      <c r="A25" s="16" t="s">
        <v>85</v>
      </c>
      <c r="B25" s="41" t="n">
        <v>8</v>
      </c>
      <c r="C25" s="45" t="s">
        <v>86</v>
      </c>
      <c r="D25" s="46" t="s">
        <v>53</v>
      </c>
    </row>
    <row r="26" customFormat="false" ht="22.35" hidden="false" customHeight="false" outlineLevel="0" collapsed="false">
      <c r="A26" s="47" t="s">
        <v>87</v>
      </c>
      <c r="B26" s="41" t="n">
        <v>20</v>
      </c>
      <c r="C26" s="49" t="s">
        <v>88</v>
      </c>
      <c r="D26" s="43" t="s">
        <v>53</v>
      </c>
    </row>
    <row r="27" customFormat="false" ht="15" hidden="false" customHeight="false" outlineLevel="0" collapsed="false">
      <c r="A27" s="12" t="s">
        <v>89</v>
      </c>
      <c r="B27" s="41" t="n">
        <v>1</v>
      </c>
      <c r="C27" s="48" t="s">
        <v>90</v>
      </c>
      <c r="D27" s="46" t="s">
        <v>53</v>
      </c>
    </row>
    <row r="28" customFormat="false" ht="19.5" hidden="false" customHeight="true" outlineLevel="0" collapsed="false">
      <c r="A28" s="50" t="s">
        <v>91</v>
      </c>
      <c r="B28" s="54" t="n">
        <f aca="false">SUM(B21:B27)</f>
        <v>141</v>
      </c>
      <c r="C28" s="52" t="s">
        <v>92</v>
      </c>
      <c r="D28" s="53" t="s">
        <v>93</v>
      </c>
    </row>
    <row r="30" customFormat="false" ht="21.75" hidden="false" customHeight="true" outlineLevel="0" collapsed="false">
      <c r="A30" s="55" t="s">
        <v>94</v>
      </c>
      <c r="B30" s="55"/>
      <c r="C30" s="55"/>
      <c r="D30" s="55"/>
      <c r="E30" s="55"/>
    </row>
    <row r="31" customFormat="false" ht="15" hidden="false" customHeight="false" outlineLevel="0" collapsed="false">
      <c r="A31" s="40" t="s">
        <v>47</v>
      </c>
      <c r="B31" s="40" t="s">
        <v>48</v>
      </c>
      <c r="C31" s="40" t="s">
        <v>49</v>
      </c>
      <c r="D31" s="40" t="s">
        <v>50</v>
      </c>
    </row>
    <row r="32" customFormat="false" ht="15" hidden="false" customHeight="false" outlineLevel="0" collapsed="false">
      <c r="A32" s="56" t="s">
        <v>95</v>
      </c>
      <c r="B32" s="57" t="n">
        <v>0.15</v>
      </c>
      <c r="C32" s="58" t="s">
        <v>96</v>
      </c>
      <c r="D32" s="59" t="s">
        <v>97</v>
      </c>
    </row>
    <row r="33" customFormat="false" ht="15" hidden="false" customHeight="false" outlineLevel="0" collapsed="false">
      <c r="A33" s="12" t="s">
        <v>98</v>
      </c>
      <c r="B33" s="57" t="n">
        <v>0.1</v>
      </c>
      <c r="C33" s="45" t="s">
        <v>99</v>
      </c>
      <c r="D33" s="46" t="s">
        <v>97</v>
      </c>
    </row>
    <row r="34" customFormat="false" ht="15" hidden="false" customHeight="false" outlineLevel="0" collapsed="false">
      <c r="A34" s="56" t="s">
        <v>100</v>
      </c>
      <c r="B34" s="57" t="n">
        <v>0.07</v>
      </c>
      <c r="C34" s="58" t="s">
        <v>101</v>
      </c>
      <c r="D34" s="59" t="s">
        <v>97</v>
      </c>
    </row>
    <row r="35" customFormat="false" ht="15" hidden="false" customHeight="false" outlineLevel="0" collapsed="false">
      <c r="A35" s="12" t="s">
        <v>102</v>
      </c>
      <c r="B35" s="44" t="n">
        <v>200</v>
      </c>
      <c r="C35" s="45" t="s">
        <v>103</v>
      </c>
      <c r="D35" s="60" t="s">
        <v>104</v>
      </c>
    </row>
    <row r="36" customFormat="false" ht="15" hidden="false" customHeight="false" outlineLevel="0" collapsed="false">
      <c r="A36" s="56" t="s">
        <v>105</v>
      </c>
      <c r="B36" s="57" t="n">
        <v>0.03</v>
      </c>
      <c r="C36" s="58" t="s">
        <v>106</v>
      </c>
      <c r="D36" s="59" t="s">
        <v>97</v>
      </c>
    </row>
    <row r="37" customFormat="false" ht="15" hidden="false" customHeight="false" outlineLevel="0" collapsed="false">
      <c r="A37" s="12" t="s">
        <v>107</v>
      </c>
      <c r="B37" s="41" t="n">
        <v>9</v>
      </c>
      <c r="C37" s="48" t="s">
        <v>108</v>
      </c>
      <c r="D37" s="46" t="s">
        <v>53</v>
      </c>
    </row>
    <row r="38" customFormat="false" ht="15" hidden="false" customHeight="false" outlineLevel="0" collapsed="false">
      <c r="A38" s="24" t="s">
        <v>109</v>
      </c>
      <c r="B38" s="44" t="n">
        <v>4</v>
      </c>
      <c r="C38" s="58" t="s">
        <v>110</v>
      </c>
      <c r="D38" s="59" t="s">
        <v>111</v>
      </c>
    </row>
    <row r="39" customFormat="false" ht="15" hidden="false" customHeight="false" outlineLevel="0" collapsed="false">
      <c r="A39" s="12" t="s">
        <v>112</v>
      </c>
      <c r="B39" s="57" t="n">
        <v>0.006</v>
      </c>
      <c r="C39" s="45" t="s">
        <v>113</v>
      </c>
      <c r="D39" s="46" t="s">
        <v>97</v>
      </c>
    </row>
    <row r="40" customFormat="false" ht="15" hidden="false" customHeight="false" outlineLevel="0" collapsed="false">
      <c r="A40" s="56" t="s">
        <v>114</v>
      </c>
      <c r="B40" s="41" t="n">
        <v>29</v>
      </c>
      <c r="C40" s="61" t="s">
        <v>115</v>
      </c>
      <c r="D40" s="59" t="s">
        <v>53</v>
      </c>
    </row>
    <row r="41" customFormat="false" ht="15" hidden="false" customHeight="false" outlineLevel="0" collapsed="false">
      <c r="A41" s="12" t="s">
        <v>116</v>
      </c>
      <c r="B41" s="44" t="n">
        <v>7</v>
      </c>
      <c r="C41" s="45" t="s">
        <v>117</v>
      </c>
      <c r="D41" s="46" t="s">
        <v>111</v>
      </c>
    </row>
    <row r="42" customFormat="false" ht="15" hidden="false" customHeight="false" outlineLevel="0" collapsed="false">
      <c r="A42" s="24" t="s">
        <v>118</v>
      </c>
      <c r="B42" s="44" t="n">
        <v>8</v>
      </c>
      <c r="C42" s="58" t="s">
        <v>119</v>
      </c>
      <c r="D42" s="62" t="s">
        <v>120</v>
      </c>
    </row>
    <row r="43" customFormat="false" ht="15" hidden="false" customHeight="false" outlineLevel="0" collapsed="false">
      <c r="A43" s="16" t="s">
        <v>121</v>
      </c>
      <c r="B43" s="41" t="n">
        <v>199</v>
      </c>
      <c r="C43" s="48" t="s">
        <v>122</v>
      </c>
      <c r="D43" s="46" t="s">
        <v>53</v>
      </c>
    </row>
    <row r="44" customFormat="false" ht="15" hidden="false" customHeight="false" outlineLevel="0" collapsed="false">
      <c r="A44" s="24" t="s">
        <v>123</v>
      </c>
      <c r="B44" s="44" t="n">
        <v>13</v>
      </c>
      <c r="C44" s="58" t="s">
        <v>124</v>
      </c>
      <c r="D44" s="59" t="s">
        <v>111</v>
      </c>
    </row>
    <row r="45" customFormat="false" ht="15" hidden="false" customHeight="false" outlineLevel="0" collapsed="false">
      <c r="A45" s="12" t="s">
        <v>125</v>
      </c>
      <c r="B45" s="41" t="n">
        <v>99</v>
      </c>
      <c r="C45" s="48" t="s">
        <v>126</v>
      </c>
      <c r="D45" s="46" t="s">
        <v>53</v>
      </c>
    </row>
    <row r="46" customFormat="false" ht="15" hidden="false" customHeight="false" outlineLevel="0" collapsed="false">
      <c r="A46" s="56" t="s">
        <v>127</v>
      </c>
      <c r="B46" s="44" t="n">
        <v>20</v>
      </c>
      <c r="C46" s="58" t="s">
        <v>128</v>
      </c>
      <c r="D46" s="62" t="s">
        <v>129</v>
      </c>
    </row>
  </sheetData>
  <mergeCells count="4">
    <mergeCell ref="A1:E1"/>
    <mergeCell ref="A4:E4"/>
    <mergeCell ref="A19:E19"/>
    <mergeCell ref="A30:E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27" min="2" style="0" width="11"/>
  </cols>
  <sheetData>
    <row r="1" customFormat="false" ht="36" hidden="false" customHeight="true" outlineLevel="0" collapsed="false">
      <c r="A1" s="37" t="s">
        <v>130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customFormat="false" ht="22.35" hidden="false" customHeight="false" outlineLevel="0" collapsed="false">
      <c r="A2" s="63" t="s">
        <v>131</v>
      </c>
    </row>
    <row r="4" customFormat="false" ht="30" hidden="false" customHeight="true" outlineLevel="0" collapsed="false">
      <c r="A4" s="64" t="s">
        <v>132</v>
      </c>
      <c r="B4" s="65" t="s">
        <v>133</v>
      </c>
      <c r="C4" s="65" t="s">
        <v>134</v>
      </c>
      <c r="D4" s="65" t="s">
        <v>135</v>
      </c>
      <c r="E4" s="65" t="s">
        <v>136</v>
      </c>
      <c r="F4" s="65" t="s">
        <v>137</v>
      </c>
      <c r="G4" s="65" t="s">
        <v>138</v>
      </c>
      <c r="H4" s="65" t="s">
        <v>139</v>
      </c>
      <c r="I4" s="65" t="s">
        <v>140</v>
      </c>
      <c r="J4" s="65" t="s">
        <v>141</v>
      </c>
      <c r="K4" s="65" t="s">
        <v>142</v>
      </c>
      <c r="L4" s="65" t="s">
        <v>143</v>
      </c>
      <c r="M4" s="65" t="s">
        <v>144</v>
      </c>
      <c r="N4" s="66" t="s">
        <v>145</v>
      </c>
      <c r="O4" s="66" t="s">
        <v>146</v>
      </c>
      <c r="P4" s="66" t="s">
        <v>147</v>
      </c>
      <c r="Q4" s="66" t="s">
        <v>148</v>
      </c>
      <c r="R4" s="66" t="s">
        <v>149</v>
      </c>
      <c r="S4" s="66" t="s">
        <v>150</v>
      </c>
      <c r="T4" s="66" t="s">
        <v>151</v>
      </c>
      <c r="U4" s="66" t="s">
        <v>152</v>
      </c>
      <c r="V4" s="66" t="s">
        <v>153</v>
      </c>
      <c r="W4" s="66" t="s">
        <v>154</v>
      </c>
      <c r="X4" s="66" t="s">
        <v>155</v>
      </c>
      <c r="Y4" s="66" t="s">
        <v>156</v>
      </c>
    </row>
    <row r="5" customFormat="false" ht="19.5" hidden="false" customHeight="true" outlineLevel="0" collapsed="false">
      <c r="A5" s="3" t="s">
        <v>157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" hidden="false" customHeight="false" outlineLevel="0" collapsed="false">
      <c r="A6" s="18" t="s">
        <v>158</v>
      </c>
      <c r="B6" s="67" t="n">
        <f aca="false">ROUND(Assumptions!B35*(1+Assumptions!B32),0)</f>
        <v>230</v>
      </c>
      <c r="C6" s="68" t="n">
        <f aca="false">ROUND(B6*(1+Assumptions!B32),0)</f>
        <v>265</v>
      </c>
      <c r="D6" s="67" t="n">
        <f aca="false">ROUND(C6*(1+Assumptions!B32),0)</f>
        <v>305</v>
      </c>
      <c r="E6" s="68" t="n">
        <f aca="false">ROUND(D6*(1+Assumptions!B32),0)</f>
        <v>351</v>
      </c>
      <c r="F6" s="67" t="n">
        <f aca="false">ROUND(E6*(1+Assumptions!B32),0)</f>
        <v>404</v>
      </c>
      <c r="G6" s="68" t="n">
        <f aca="false">ROUND(F6*(1+Assumptions!B32),0)</f>
        <v>465</v>
      </c>
      <c r="H6" s="67" t="n">
        <f aca="false">ROUND(G6*(1+Assumptions!B33),0)</f>
        <v>512</v>
      </c>
      <c r="I6" s="68" t="n">
        <f aca="false">ROUND(H6*(1+Assumptions!B33),0)</f>
        <v>563</v>
      </c>
      <c r="J6" s="67" t="n">
        <f aca="false">ROUND(I6*(1+Assumptions!B33),0)</f>
        <v>619</v>
      </c>
      <c r="K6" s="68" t="n">
        <f aca="false">ROUND(J6*(1+Assumptions!B33),0)</f>
        <v>681</v>
      </c>
      <c r="L6" s="67" t="n">
        <f aca="false">ROUND(K6*(1+Assumptions!B33),0)</f>
        <v>749</v>
      </c>
      <c r="M6" s="68" t="n">
        <f aca="false">ROUND(L6*(1+Assumptions!B33),0)</f>
        <v>824</v>
      </c>
      <c r="N6" s="67" t="n">
        <f aca="false">ROUND(M6*(1+Assumptions!B34),0)</f>
        <v>882</v>
      </c>
      <c r="O6" s="68" t="n">
        <f aca="false">ROUND(N6*(1+Assumptions!B34),0)</f>
        <v>944</v>
      </c>
      <c r="P6" s="67" t="n">
        <f aca="false">ROUND(O6*(1+Assumptions!B34),0)</f>
        <v>1010</v>
      </c>
      <c r="Q6" s="68" t="n">
        <f aca="false">ROUND(P6*(1+Assumptions!B34),0)</f>
        <v>1081</v>
      </c>
      <c r="R6" s="67" t="n">
        <f aca="false">ROUND(Q6*(1+Assumptions!B34),0)</f>
        <v>1157</v>
      </c>
      <c r="S6" s="68" t="n">
        <f aca="false">ROUND(R6*(1+Assumptions!B34),0)</f>
        <v>1238</v>
      </c>
      <c r="T6" s="67" t="n">
        <f aca="false">ROUND(S6*(1+Assumptions!B34),0)</f>
        <v>1325</v>
      </c>
      <c r="U6" s="68" t="n">
        <f aca="false">ROUND(T6*(1+Assumptions!B34),0)</f>
        <v>1418</v>
      </c>
      <c r="V6" s="67" t="n">
        <f aca="false">ROUND(U6*(1+Assumptions!B34),0)</f>
        <v>1517</v>
      </c>
      <c r="W6" s="68" t="n">
        <f aca="false">ROUND(V6*(1+Assumptions!B34),0)</f>
        <v>1623</v>
      </c>
      <c r="X6" s="67" t="n">
        <f aca="false">ROUND(W6*(1+Assumptions!B34),0)</f>
        <v>1737</v>
      </c>
      <c r="Y6" s="68" t="n">
        <f aca="false">ROUND(X6*(1+Assumptions!B34),0)</f>
        <v>1859</v>
      </c>
    </row>
    <row r="7" customFormat="false" ht="15" hidden="false" customHeight="false" outlineLevel="0" collapsed="false">
      <c r="A7" s="18" t="s">
        <v>159</v>
      </c>
      <c r="B7" s="67" t="n">
        <f aca="false">ROUND(B6*3.94,0)</f>
        <v>906</v>
      </c>
      <c r="C7" s="68" t="n">
        <f aca="false">ROUND(C6*3.88,0)</f>
        <v>1028</v>
      </c>
      <c r="D7" s="67" t="n">
        <f aca="false">ROUND(D6*3.82,0)</f>
        <v>1165</v>
      </c>
      <c r="E7" s="68" t="n">
        <f aca="false">ROUND(E6*3.76,0)</f>
        <v>1320</v>
      </c>
      <c r="F7" s="67" t="n">
        <f aca="false">ROUND(F6*3.7,0)</f>
        <v>1495</v>
      </c>
      <c r="G7" s="68" t="n">
        <f aca="false">ROUND(G6*3.64,0)</f>
        <v>1693</v>
      </c>
      <c r="H7" s="67" t="n">
        <f aca="false">ROUND(H6*3.58,0)</f>
        <v>1833</v>
      </c>
      <c r="I7" s="68" t="n">
        <f aca="false">ROUND(I6*3.52,0)</f>
        <v>1982</v>
      </c>
      <c r="J7" s="67" t="n">
        <f aca="false">ROUND(J6*3.46,0)</f>
        <v>2142</v>
      </c>
      <c r="K7" s="68" t="n">
        <f aca="false">ROUND(K6*3.4,0)</f>
        <v>2315</v>
      </c>
      <c r="L7" s="67" t="n">
        <f aca="false">ROUND(L6*3.34,0)</f>
        <v>2502</v>
      </c>
      <c r="M7" s="68" t="n">
        <f aca="false">ROUND(M6*3.28,0)</f>
        <v>2703</v>
      </c>
      <c r="N7" s="67" t="n">
        <f aca="false">ROUND(N6*3.22,0)</f>
        <v>2840</v>
      </c>
      <c r="O7" s="68" t="n">
        <f aca="false">ROUND(O6*3.16,0)</f>
        <v>2983</v>
      </c>
      <c r="P7" s="67" t="n">
        <f aca="false">ROUND(P6*3.1,0)</f>
        <v>3131</v>
      </c>
      <c r="Q7" s="68" t="n">
        <f aca="false">ROUND(Q6*3.04,0)</f>
        <v>3286</v>
      </c>
      <c r="R7" s="67" t="n">
        <f aca="false">ROUND(R6*2.98,0)</f>
        <v>3448</v>
      </c>
      <c r="S7" s="68" t="n">
        <f aca="false">ROUND(S6*2.92,0)</f>
        <v>3615</v>
      </c>
      <c r="T7" s="67" t="n">
        <f aca="false">ROUND(T6*2.86,0)</f>
        <v>3790</v>
      </c>
      <c r="U7" s="68" t="n">
        <f aca="false">ROUND(U6*2.8,0)</f>
        <v>3970</v>
      </c>
      <c r="V7" s="67" t="n">
        <f aca="false">ROUND(V6*2.74,0)</f>
        <v>4157</v>
      </c>
      <c r="W7" s="68" t="n">
        <f aca="false">ROUND(W6*2.68,0)</f>
        <v>4350</v>
      </c>
      <c r="X7" s="67" t="n">
        <f aca="false">ROUND(X6*2.62,0)</f>
        <v>4551</v>
      </c>
      <c r="Y7" s="68" t="n">
        <f aca="false">ROUND(Y6*2.56,0)</f>
        <v>4759</v>
      </c>
    </row>
    <row r="8" customFormat="false" ht="15" hidden="false" customHeight="false" outlineLevel="0" collapsed="false">
      <c r="A8" s="18" t="s">
        <v>160</v>
      </c>
      <c r="B8" s="67" t="n">
        <f aca="false">IF(1&gt;=Assumptions!B38,ROUND(B6*Assumptions!B36,0),0)</f>
        <v>0</v>
      </c>
      <c r="C8" s="68" t="n">
        <f aca="false">IF(2&gt;=Assumptions!B38,ROUND(C6*Assumptions!B36,0),0)</f>
        <v>0</v>
      </c>
      <c r="D8" s="67" t="n">
        <f aca="false">IF(3&gt;=Assumptions!B38,ROUND(D6*Assumptions!B36,0),0)</f>
        <v>0</v>
      </c>
      <c r="E8" s="68" t="n">
        <f aca="false">IF(4&gt;=Assumptions!B38,ROUND(E6*Assumptions!B36,0),0)</f>
        <v>11</v>
      </c>
      <c r="F8" s="67" t="n">
        <f aca="false">IF(5&gt;=Assumptions!B38,ROUND(F6*Assumptions!B36,0),0)</f>
        <v>12</v>
      </c>
      <c r="G8" s="68" t="n">
        <f aca="false">IF(6&gt;=Assumptions!B38,ROUND(G6*Assumptions!B36,0),0)</f>
        <v>14</v>
      </c>
      <c r="H8" s="67" t="n">
        <f aca="false">IF(7&gt;=Assumptions!B38,ROUND(H6*Assumptions!B36,0),0)</f>
        <v>15</v>
      </c>
      <c r="I8" s="68" t="n">
        <f aca="false">IF(8&gt;=Assumptions!B38,ROUND(I6*Assumptions!B36,0),0)</f>
        <v>17</v>
      </c>
      <c r="J8" s="67" t="n">
        <f aca="false">IF(9&gt;=Assumptions!B38,ROUND(J6*Assumptions!B36,0),0)</f>
        <v>19</v>
      </c>
      <c r="K8" s="68" t="n">
        <f aca="false">IF(10&gt;=Assumptions!B38,ROUND(K6*Assumptions!B36,0),0)</f>
        <v>20</v>
      </c>
      <c r="L8" s="67" t="n">
        <f aca="false">IF(11&gt;=Assumptions!B38,ROUND(L6*Assumptions!B36,0),0)</f>
        <v>22</v>
      </c>
      <c r="M8" s="68" t="n">
        <f aca="false">IF(12&gt;=Assumptions!B38,ROUND(M6*Assumptions!B36,0),0)</f>
        <v>25</v>
      </c>
      <c r="N8" s="67" t="n">
        <f aca="false">IF(13&gt;=Assumptions!B38,ROUND(N6*Assumptions!B36,0),0)</f>
        <v>26</v>
      </c>
      <c r="O8" s="68" t="n">
        <f aca="false">IF(14&gt;=Assumptions!B38,ROUND(O6*Assumptions!B36,0),0)</f>
        <v>28</v>
      </c>
      <c r="P8" s="67" t="n">
        <f aca="false">IF(15&gt;=Assumptions!B38,ROUND(P6*Assumptions!B36,0),0)</f>
        <v>30</v>
      </c>
      <c r="Q8" s="68" t="n">
        <f aca="false">IF(16&gt;=Assumptions!B38,ROUND(Q6*Assumptions!B36,0),0)</f>
        <v>32</v>
      </c>
      <c r="R8" s="67" t="n">
        <f aca="false">IF(17&gt;=Assumptions!B38,ROUND(R6*Assumptions!B36,0),0)</f>
        <v>35</v>
      </c>
      <c r="S8" s="68" t="n">
        <f aca="false">IF(18&gt;=Assumptions!B38,ROUND(S6*Assumptions!B36,0),0)</f>
        <v>37</v>
      </c>
      <c r="T8" s="67" t="n">
        <f aca="false">IF(19&gt;=Assumptions!B38,ROUND(T6*Assumptions!B36,0),0)</f>
        <v>40</v>
      </c>
      <c r="U8" s="68" t="n">
        <f aca="false">IF(20&gt;=Assumptions!B38,ROUND(U6*Assumptions!B36,0),0)</f>
        <v>43</v>
      </c>
      <c r="V8" s="67" t="n">
        <f aca="false">IF(21&gt;=Assumptions!B38,ROUND(V6*Assumptions!B36,0),0)</f>
        <v>46</v>
      </c>
      <c r="W8" s="68" t="n">
        <f aca="false">IF(22&gt;=Assumptions!B38,ROUND(W6*Assumptions!B36,0),0)</f>
        <v>49</v>
      </c>
      <c r="X8" s="67" t="n">
        <f aca="false">IF(23&gt;=Assumptions!B38,ROUND(X6*Assumptions!B36,0),0)</f>
        <v>52</v>
      </c>
      <c r="Y8" s="68" t="n">
        <f aca="false">IF(24&gt;=Assumptions!B38,ROUND(Y6*Assumptions!B36,0),0)</f>
        <v>56</v>
      </c>
    </row>
    <row r="9" customFormat="false" ht="15" hidden="false" customHeight="false" outlineLevel="0" collapsed="false">
      <c r="A9" s="18" t="s">
        <v>161</v>
      </c>
      <c r="B9" s="67" t="n">
        <f aca="false">IF(1&gt;=Assumptions!B41,ROUND(B7*Assumptions!B39,0),0)</f>
        <v>0</v>
      </c>
      <c r="C9" s="68" t="n">
        <f aca="false">IF(2&gt;=Assumptions!B41,ROUND(C7*Assumptions!B39,0),0)</f>
        <v>0</v>
      </c>
      <c r="D9" s="67" t="n">
        <f aca="false">IF(3&gt;=Assumptions!B41,ROUND(D7*Assumptions!B39,0),0)</f>
        <v>0</v>
      </c>
      <c r="E9" s="68" t="n">
        <f aca="false">IF(4&gt;=Assumptions!B41,ROUND(E7*Assumptions!B39,0),0)</f>
        <v>0</v>
      </c>
      <c r="F9" s="67" t="n">
        <f aca="false">IF(5&gt;=Assumptions!B41,ROUND(F7*Assumptions!B39,0),0)</f>
        <v>0</v>
      </c>
      <c r="G9" s="68" t="n">
        <f aca="false">IF(6&gt;=Assumptions!B41,ROUND(G7*Assumptions!B39,0),0)</f>
        <v>0</v>
      </c>
      <c r="H9" s="67" t="n">
        <f aca="false">IF(7&gt;=Assumptions!B41,ROUND(H7*Assumptions!B39,0),0)</f>
        <v>11</v>
      </c>
      <c r="I9" s="68" t="n">
        <f aca="false">IF(8&gt;=Assumptions!B41,ROUND(I7*Assumptions!B39,0),0)</f>
        <v>12</v>
      </c>
      <c r="J9" s="67" t="n">
        <f aca="false">IF(9&gt;=Assumptions!B41,ROUND(J7*Assumptions!B39,0),0)</f>
        <v>13</v>
      </c>
      <c r="K9" s="68" t="n">
        <f aca="false">IF(10&gt;=Assumptions!B41,ROUND(K7*Assumptions!B39,0),0)</f>
        <v>14</v>
      </c>
      <c r="L9" s="67" t="n">
        <f aca="false">IF(11&gt;=Assumptions!B41,ROUND(L7*Assumptions!B39,0),0)</f>
        <v>15</v>
      </c>
      <c r="M9" s="68" t="n">
        <f aca="false">IF(12&gt;=Assumptions!B41,ROUND(M7*Assumptions!B39,0),0)</f>
        <v>16</v>
      </c>
      <c r="N9" s="67" t="n">
        <f aca="false">IF(13&gt;=Assumptions!B41,ROUND(N7*Assumptions!B39,0),0)</f>
        <v>17</v>
      </c>
      <c r="O9" s="68" t="n">
        <f aca="false">IF(14&gt;=Assumptions!B41,ROUND(O7*Assumptions!B39,0),0)</f>
        <v>18</v>
      </c>
      <c r="P9" s="67" t="n">
        <f aca="false">IF(15&gt;=Assumptions!B41,ROUND(P7*Assumptions!B39,0),0)</f>
        <v>19</v>
      </c>
      <c r="Q9" s="68" t="n">
        <f aca="false">IF(16&gt;=Assumptions!B41,ROUND(Q7*Assumptions!B39,0),0)</f>
        <v>20</v>
      </c>
      <c r="R9" s="67" t="n">
        <f aca="false">IF(17&gt;=Assumptions!B41,ROUND(R7*Assumptions!B39,0),0)</f>
        <v>21</v>
      </c>
      <c r="S9" s="68" t="n">
        <f aca="false">IF(18&gt;=Assumptions!B41,ROUND(S7*Assumptions!B39,0),0)</f>
        <v>22</v>
      </c>
      <c r="T9" s="67" t="n">
        <f aca="false">IF(19&gt;=Assumptions!B41,ROUND(T7*Assumptions!B39,0),0)</f>
        <v>23</v>
      </c>
      <c r="U9" s="68" t="n">
        <f aca="false">IF(20&gt;=Assumptions!B41,ROUND(U7*Assumptions!B39,0),0)</f>
        <v>24</v>
      </c>
      <c r="V9" s="67" t="n">
        <f aca="false">IF(21&gt;=Assumptions!B41,ROUND(V7*Assumptions!B39,0),0)</f>
        <v>25</v>
      </c>
      <c r="W9" s="68" t="n">
        <f aca="false">IF(22&gt;=Assumptions!B41,ROUND(W7*Assumptions!B39,0),0)</f>
        <v>26</v>
      </c>
      <c r="X9" s="67" t="n">
        <f aca="false">IF(23&gt;=Assumptions!B41,ROUND(X7*Assumptions!B39,0),0)</f>
        <v>27</v>
      </c>
      <c r="Y9" s="68" t="n">
        <f aca="false">IF(24&gt;=Assumptions!B41,ROUND(Y7*Assumptions!B39,0),0)</f>
        <v>29</v>
      </c>
    </row>
    <row r="10" customFormat="false" ht="15" hidden="false" customHeight="false" outlineLevel="0" collapsed="false">
      <c r="A10" s="47" t="s">
        <v>162</v>
      </c>
      <c r="B10" s="67" t="s">
        <v>163</v>
      </c>
      <c r="C10" s="68" t="s">
        <v>163</v>
      </c>
      <c r="D10" s="67" t="s">
        <v>163</v>
      </c>
      <c r="E10" s="68" t="s">
        <v>163</v>
      </c>
      <c r="F10" s="67" t="s">
        <v>163</v>
      </c>
      <c r="G10" s="68" t="s">
        <v>163</v>
      </c>
      <c r="H10" s="67" t="s">
        <v>163</v>
      </c>
      <c r="I10" s="68" t="s">
        <v>163</v>
      </c>
      <c r="J10" s="67" t="s">
        <v>163</v>
      </c>
      <c r="K10" s="68" t="s">
        <v>163</v>
      </c>
      <c r="L10" s="67" t="s">
        <v>163</v>
      </c>
      <c r="M10" s="68" t="s">
        <v>163</v>
      </c>
      <c r="N10" s="67" t="n">
        <f aca="false">ROUND(Assumptions!B42*0.4,0)</f>
        <v>3</v>
      </c>
      <c r="O10" s="68" t="n">
        <f aca="false">MIN(N10+1,Assumptions!B42)</f>
        <v>4</v>
      </c>
      <c r="P10" s="67" t="n">
        <f aca="false">MIN(O10+1,Assumptions!B42)</f>
        <v>5</v>
      </c>
      <c r="Q10" s="68" t="n">
        <f aca="false">MIN(P10+1,Assumptions!B42)</f>
        <v>6</v>
      </c>
      <c r="R10" s="67" t="n">
        <f aca="false">MIN(Q10+1,Assumptions!B42)</f>
        <v>7</v>
      </c>
      <c r="S10" s="68" t="n">
        <f aca="false">MIN(R10+1,Assumptions!B42)</f>
        <v>8</v>
      </c>
      <c r="T10" s="67" t="n">
        <f aca="false">MIN(S10+1,Assumptions!B42+4)</f>
        <v>9</v>
      </c>
      <c r="U10" s="68" t="n">
        <f aca="false">MIN(T10+1,Assumptions!B42+4)</f>
        <v>10</v>
      </c>
      <c r="V10" s="67" t="n">
        <f aca="false">MIN(U10+1,Assumptions!B42+4)</f>
        <v>11</v>
      </c>
      <c r="W10" s="68" t="n">
        <f aca="false">MIN(V10+1,Assumptions!B42+4)</f>
        <v>12</v>
      </c>
      <c r="X10" s="67" t="n">
        <f aca="false">MIN(W10+1,Assumptions!B42+4)</f>
        <v>12</v>
      </c>
      <c r="Y10" s="68" t="n">
        <f aca="false">MIN(X10+1,Assumptions!B42+4)</f>
        <v>12</v>
      </c>
    </row>
    <row r="11" customFormat="false" ht="19.5" hidden="false" customHeight="true" outlineLevel="0" collapsed="false">
      <c r="A11" s="69" t="s">
        <v>164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</row>
    <row r="12" customFormat="false" ht="15" hidden="false" customHeight="false" outlineLevel="0" collapsed="false">
      <c r="A12" s="24" t="s">
        <v>165</v>
      </c>
      <c r="B12" s="70" t="n">
        <f aca="false">IF(1&gt;=Assumptions!B38,B8*Assumptions!B37,0)</f>
        <v>0</v>
      </c>
      <c r="C12" s="71" t="n">
        <f aca="false">IF(2&gt;=Assumptions!B38,C8*Assumptions!B37,0)</f>
        <v>0</v>
      </c>
      <c r="D12" s="70" t="n">
        <f aca="false">IF(3&gt;=Assumptions!B38,D8*Assumptions!B37,0)</f>
        <v>0</v>
      </c>
      <c r="E12" s="71" t="n">
        <f aca="false">IF(4&gt;=Assumptions!B38,E8*Assumptions!B37,0)</f>
        <v>99</v>
      </c>
      <c r="F12" s="70" t="n">
        <f aca="false">IF(5&gt;=Assumptions!B38,F8*Assumptions!B37,0)</f>
        <v>108</v>
      </c>
      <c r="G12" s="71" t="n">
        <f aca="false">IF(6&gt;=Assumptions!B38,G8*Assumptions!B37,0)</f>
        <v>126</v>
      </c>
      <c r="H12" s="70" t="n">
        <f aca="false">IF(7&gt;=Assumptions!B38,H8*Assumptions!B37,0)</f>
        <v>135</v>
      </c>
      <c r="I12" s="71" t="n">
        <f aca="false">IF(8&gt;=Assumptions!B38,I8*Assumptions!B37,0)</f>
        <v>153</v>
      </c>
      <c r="J12" s="70" t="n">
        <f aca="false">IF(9&gt;=Assumptions!B38,J8*Assumptions!B37,0)</f>
        <v>171</v>
      </c>
      <c r="K12" s="71" t="n">
        <f aca="false">IF(10&gt;=Assumptions!B38,K8*Assumptions!B37,0)</f>
        <v>180</v>
      </c>
      <c r="L12" s="70" t="n">
        <f aca="false">IF(11&gt;=Assumptions!B38,L8*Assumptions!B37,0)</f>
        <v>198</v>
      </c>
      <c r="M12" s="71" t="n">
        <f aca="false">IF(12&gt;=Assumptions!B38,M8*Assumptions!B37,0)</f>
        <v>225</v>
      </c>
      <c r="N12" s="70" t="n">
        <f aca="false">IF(13&gt;=Assumptions!B38,N8*Assumptions!B37,0)</f>
        <v>234</v>
      </c>
      <c r="O12" s="71" t="n">
        <f aca="false">IF(14&gt;=Assumptions!B38,O8*Assumptions!B37,0)</f>
        <v>252</v>
      </c>
      <c r="P12" s="70" t="n">
        <f aca="false">IF(15&gt;=Assumptions!B38,P8*Assumptions!B37,0)</f>
        <v>270</v>
      </c>
      <c r="Q12" s="71" t="n">
        <f aca="false">IF(16&gt;=Assumptions!B38,Q8*Assumptions!B37,0)</f>
        <v>288</v>
      </c>
      <c r="R12" s="70" t="n">
        <f aca="false">IF(17&gt;=Assumptions!B38,R8*Assumptions!B37,0)</f>
        <v>315</v>
      </c>
      <c r="S12" s="71" t="n">
        <f aca="false">IF(18&gt;=Assumptions!B38,S8*Assumptions!B37,0)</f>
        <v>333</v>
      </c>
      <c r="T12" s="70" t="n">
        <f aca="false">IF(19&gt;=Assumptions!B38,T8*Assumptions!B37,0)</f>
        <v>360</v>
      </c>
      <c r="U12" s="71" t="n">
        <f aca="false">IF(20&gt;=Assumptions!B38,U8*Assumptions!B37,0)</f>
        <v>387</v>
      </c>
      <c r="V12" s="70" t="n">
        <f aca="false">IF(21&gt;=Assumptions!B38,V8*Assumptions!B37,0)</f>
        <v>414</v>
      </c>
      <c r="W12" s="71" t="n">
        <f aca="false">IF(22&gt;=Assumptions!B38,W8*Assumptions!B37,0)</f>
        <v>441</v>
      </c>
      <c r="X12" s="70" t="n">
        <f aca="false">IF(23&gt;=Assumptions!B38,X8*Assumptions!B37,0)</f>
        <v>468</v>
      </c>
      <c r="Y12" s="71" t="n">
        <f aca="false">IF(24&gt;=Assumptions!B38,Y8*Assumptions!B37,0)</f>
        <v>504</v>
      </c>
    </row>
    <row r="13" customFormat="false" ht="15" hidden="false" customHeight="false" outlineLevel="0" collapsed="false">
      <c r="A13" s="56" t="s">
        <v>166</v>
      </c>
      <c r="B13" s="70" t="n">
        <f aca="false">IF(1&gt;=Assumptions!B41,B9*Assumptions!B40,0)</f>
        <v>0</v>
      </c>
      <c r="C13" s="71" t="n">
        <f aca="false">IF(2&gt;=Assumptions!B41,C9*Assumptions!B40,0)</f>
        <v>0</v>
      </c>
      <c r="D13" s="70" t="n">
        <f aca="false">IF(3&gt;=Assumptions!B41,D9*Assumptions!B40,0)</f>
        <v>0</v>
      </c>
      <c r="E13" s="71" t="n">
        <f aca="false">IF(4&gt;=Assumptions!B41,E9*Assumptions!B40,0)</f>
        <v>0</v>
      </c>
      <c r="F13" s="70" t="n">
        <f aca="false">IF(5&gt;=Assumptions!B41,F9*Assumptions!B40,0)</f>
        <v>0</v>
      </c>
      <c r="G13" s="71" t="n">
        <f aca="false">IF(6&gt;=Assumptions!B41,G9*Assumptions!B40,0)</f>
        <v>0</v>
      </c>
      <c r="H13" s="70" t="n">
        <f aca="false">IF(7&gt;=Assumptions!B41,H9*Assumptions!B40,0)</f>
        <v>319</v>
      </c>
      <c r="I13" s="71" t="n">
        <f aca="false">IF(8&gt;=Assumptions!B41,I9*Assumptions!B40,0)</f>
        <v>348</v>
      </c>
      <c r="J13" s="70" t="n">
        <f aca="false">IF(9&gt;=Assumptions!B41,J9*Assumptions!B40,0)</f>
        <v>377</v>
      </c>
      <c r="K13" s="71" t="n">
        <f aca="false">IF(10&gt;=Assumptions!B41,K9*Assumptions!B40,0)</f>
        <v>406</v>
      </c>
      <c r="L13" s="70" t="n">
        <f aca="false">IF(11&gt;=Assumptions!B41,L9*Assumptions!B40,0)</f>
        <v>435</v>
      </c>
      <c r="M13" s="71" t="n">
        <f aca="false">IF(12&gt;=Assumptions!B41,M9*Assumptions!B40,0)</f>
        <v>464</v>
      </c>
      <c r="N13" s="70" t="n">
        <f aca="false">IF(13&gt;=Assumptions!B41,N9*Assumptions!B40,0)</f>
        <v>493</v>
      </c>
      <c r="O13" s="71" t="n">
        <f aca="false">IF(14&gt;=Assumptions!B41,O9*Assumptions!B40,0)</f>
        <v>522</v>
      </c>
      <c r="P13" s="70" t="n">
        <f aca="false">IF(15&gt;=Assumptions!B41,P9*Assumptions!B40,0)</f>
        <v>551</v>
      </c>
      <c r="Q13" s="71" t="n">
        <f aca="false">IF(16&gt;=Assumptions!B41,Q9*Assumptions!B40,0)</f>
        <v>580</v>
      </c>
      <c r="R13" s="70" t="n">
        <f aca="false">IF(17&gt;=Assumptions!B41,R9*Assumptions!B40,0)</f>
        <v>609</v>
      </c>
      <c r="S13" s="71" t="n">
        <f aca="false">IF(18&gt;=Assumptions!B41,S9*Assumptions!B40,0)</f>
        <v>638</v>
      </c>
      <c r="T13" s="70" t="n">
        <f aca="false">IF(19&gt;=Assumptions!B41,T9*Assumptions!B40,0)</f>
        <v>667</v>
      </c>
      <c r="U13" s="71" t="n">
        <f aca="false">IF(20&gt;=Assumptions!B41,U9*Assumptions!B40,0)</f>
        <v>696</v>
      </c>
      <c r="V13" s="70" t="n">
        <f aca="false">IF(21&gt;=Assumptions!B41,V9*Assumptions!B40,0)</f>
        <v>725</v>
      </c>
      <c r="W13" s="71" t="n">
        <f aca="false">IF(22&gt;=Assumptions!B41,W9*Assumptions!B40,0)</f>
        <v>754</v>
      </c>
      <c r="X13" s="70" t="n">
        <f aca="false">IF(23&gt;=Assumptions!B41,X9*Assumptions!B40,0)</f>
        <v>783</v>
      </c>
      <c r="Y13" s="71" t="n">
        <f aca="false">IF(24&gt;=Assumptions!B41,Y9*Assumptions!B40,0)</f>
        <v>841</v>
      </c>
    </row>
    <row r="14" customFormat="false" ht="15" hidden="false" customHeight="false" outlineLevel="0" collapsed="false">
      <c r="A14" s="24" t="s">
        <v>167</v>
      </c>
      <c r="B14" s="70" t="n">
        <f aca="false">IF(1&gt;=Assumptions!B44,B10*Assumptions!B43,0)</f>
        <v>0</v>
      </c>
      <c r="C14" s="71" t="n">
        <f aca="false">IF(2&gt;=Assumptions!B44,C10*Assumptions!B43,0)</f>
        <v>0</v>
      </c>
      <c r="D14" s="70" t="n">
        <f aca="false">IF(3&gt;=Assumptions!B44,D10*Assumptions!B43,0)</f>
        <v>0</v>
      </c>
      <c r="E14" s="71" t="n">
        <f aca="false">IF(4&gt;=Assumptions!B44,E10*Assumptions!B43,0)</f>
        <v>0</v>
      </c>
      <c r="F14" s="70" t="n">
        <f aca="false">IF(5&gt;=Assumptions!B44,F10*Assumptions!B43,0)</f>
        <v>0</v>
      </c>
      <c r="G14" s="71" t="n">
        <f aca="false">IF(6&gt;=Assumptions!B44,G10*Assumptions!B43,0)</f>
        <v>0</v>
      </c>
      <c r="H14" s="70" t="n">
        <f aca="false">IF(7&gt;=Assumptions!B44,H10*Assumptions!B43,0)</f>
        <v>0</v>
      </c>
      <c r="I14" s="71" t="n">
        <f aca="false">IF(8&gt;=Assumptions!B44,I10*Assumptions!B43,0)</f>
        <v>0</v>
      </c>
      <c r="J14" s="70" t="n">
        <f aca="false">IF(9&gt;=Assumptions!B44,J10*Assumptions!B43,0)</f>
        <v>0</v>
      </c>
      <c r="K14" s="71" t="n">
        <f aca="false">IF(10&gt;=Assumptions!B44,K10*Assumptions!B43,0)</f>
        <v>0</v>
      </c>
      <c r="L14" s="70" t="n">
        <f aca="false">IF(11&gt;=Assumptions!B44,L10*Assumptions!B43,0)</f>
        <v>0</v>
      </c>
      <c r="M14" s="71" t="n">
        <f aca="false">IF(12&gt;=Assumptions!B44,M10*Assumptions!B43,0)</f>
        <v>0</v>
      </c>
      <c r="N14" s="70" t="n">
        <f aca="false">IF(13&gt;=Assumptions!B44,N10*Assumptions!B43,0)</f>
        <v>597</v>
      </c>
      <c r="O14" s="71" t="n">
        <f aca="false">IF(14&gt;=Assumptions!B44,O10*Assumptions!B43,0)</f>
        <v>796</v>
      </c>
      <c r="P14" s="70" t="n">
        <f aca="false">IF(15&gt;=Assumptions!B44,P10*Assumptions!B43,0)</f>
        <v>995</v>
      </c>
      <c r="Q14" s="71" t="n">
        <f aca="false">IF(16&gt;=Assumptions!B44,Q10*Assumptions!B43,0)</f>
        <v>1194</v>
      </c>
      <c r="R14" s="70" t="n">
        <f aca="false">IF(17&gt;=Assumptions!B44,R10*Assumptions!B43,0)</f>
        <v>1393</v>
      </c>
      <c r="S14" s="71" t="n">
        <f aca="false">IF(18&gt;=Assumptions!B44,S10*Assumptions!B43,0)</f>
        <v>1592</v>
      </c>
      <c r="T14" s="70" t="n">
        <f aca="false">IF(19&gt;=Assumptions!B44,T10*Assumptions!B43,0)</f>
        <v>1791</v>
      </c>
      <c r="U14" s="71" t="n">
        <f aca="false">IF(20&gt;=Assumptions!B44,U10*Assumptions!B43,0)</f>
        <v>1990</v>
      </c>
      <c r="V14" s="70" t="n">
        <f aca="false">IF(21&gt;=Assumptions!B44,V10*Assumptions!B43,0)</f>
        <v>2189</v>
      </c>
      <c r="W14" s="71" t="n">
        <f aca="false">IF(22&gt;=Assumptions!B44,W10*Assumptions!B43,0)</f>
        <v>2388</v>
      </c>
      <c r="X14" s="70" t="n">
        <f aca="false">IF(23&gt;=Assumptions!B44,X10*Assumptions!B43,0)</f>
        <v>2388</v>
      </c>
      <c r="Y14" s="71" t="n">
        <f aca="false">IF(24&gt;=Assumptions!B44,Y10*Assumptions!B43,0)</f>
        <v>2388</v>
      </c>
    </row>
    <row r="15" customFormat="false" ht="15" hidden="false" customHeight="false" outlineLevel="0" collapsed="false">
      <c r="A15" s="56" t="s">
        <v>168</v>
      </c>
      <c r="B15" s="70" t="s">
        <v>163</v>
      </c>
      <c r="C15" s="71" t="s">
        <v>163</v>
      </c>
      <c r="D15" s="70" t="s">
        <v>163</v>
      </c>
      <c r="E15" s="71" t="s">
        <v>163</v>
      </c>
      <c r="F15" s="70" t="s">
        <v>163</v>
      </c>
      <c r="G15" s="71" t="s">
        <v>163</v>
      </c>
      <c r="H15" s="70" t="s">
        <v>163</v>
      </c>
      <c r="I15" s="71" t="s">
        <v>163</v>
      </c>
      <c r="J15" s="70" t="s">
        <v>163</v>
      </c>
      <c r="K15" s="71" t="s">
        <v>163</v>
      </c>
      <c r="L15" s="70" t="s">
        <v>163</v>
      </c>
      <c r="M15" s="71" t="s">
        <v>163</v>
      </c>
      <c r="N15" s="70" t="s">
        <v>163</v>
      </c>
      <c r="O15" s="71" t="s">
        <v>163</v>
      </c>
      <c r="P15" s="70" t="n">
        <f aca="false">Assumptions!B45*(Assumptions!B46/4)</f>
        <v>495</v>
      </c>
      <c r="Q15" s="71" t="s">
        <v>163</v>
      </c>
      <c r="R15" s="70" t="s">
        <v>163</v>
      </c>
      <c r="S15" s="71" t="n">
        <f aca="false">Assumptions!B45*(Assumptions!B46/4)</f>
        <v>495</v>
      </c>
      <c r="T15" s="70" t="s">
        <v>163</v>
      </c>
      <c r="U15" s="71" t="s">
        <v>163</v>
      </c>
      <c r="V15" s="70" t="n">
        <f aca="false">Assumptions!B45*(Assumptions!B46/4)</f>
        <v>495</v>
      </c>
      <c r="W15" s="71" t="s">
        <v>163</v>
      </c>
      <c r="X15" s="70" t="s">
        <v>163</v>
      </c>
      <c r="Y15" s="71" t="n">
        <f aca="false">Assumptions!B45*(Assumptions!B46/4)</f>
        <v>495</v>
      </c>
    </row>
    <row r="16" customFormat="false" ht="15" hidden="false" customHeight="false" outlineLevel="0" collapsed="false">
      <c r="A16" s="72" t="s">
        <v>169</v>
      </c>
      <c r="B16" s="73" t="n">
        <f aca="false">SUM(B12:B15)</f>
        <v>0</v>
      </c>
      <c r="C16" s="73" t="n">
        <f aca="false">SUM(C12:C15)</f>
        <v>0</v>
      </c>
      <c r="D16" s="73" t="n">
        <f aca="false">SUM(D12:D15)</f>
        <v>0</v>
      </c>
      <c r="E16" s="73" t="n">
        <f aca="false">SUM(E12:E15)</f>
        <v>99</v>
      </c>
      <c r="F16" s="73" t="n">
        <f aca="false">SUM(F12:F15)</f>
        <v>108</v>
      </c>
      <c r="G16" s="73" t="n">
        <f aca="false">SUM(G12:G15)</f>
        <v>126</v>
      </c>
      <c r="H16" s="73" t="n">
        <f aca="false">SUM(H12:H15)</f>
        <v>454</v>
      </c>
      <c r="I16" s="73" t="n">
        <f aca="false">SUM(I12:I15)</f>
        <v>501</v>
      </c>
      <c r="J16" s="73" t="n">
        <f aca="false">SUM(J12:J15)</f>
        <v>548</v>
      </c>
      <c r="K16" s="73" t="n">
        <f aca="false">SUM(K12:K15)</f>
        <v>586</v>
      </c>
      <c r="L16" s="73" t="n">
        <f aca="false">SUM(L12:L15)</f>
        <v>633</v>
      </c>
      <c r="M16" s="73" t="n">
        <f aca="false">SUM(M12:M15)</f>
        <v>689</v>
      </c>
      <c r="N16" s="73" t="n">
        <f aca="false">SUM(N12:N15)</f>
        <v>1324</v>
      </c>
      <c r="O16" s="73" t="n">
        <f aca="false">SUM(O12:O15)</f>
        <v>1570</v>
      </c>
      <c r="P16" s="73" t="n">
        <f aca="false">SUM(P12:P15)</f>
        <v>2311</v>
      </c>
      <c r="Q16" s="73" t="n">
        <f aca="false">SUM(Q12:Q15)</f>
        <v>2062</v>
      </c>
      <c r="R16" s="73" t="n">
        <f aca="false">SUM(R12:R15)</f>
        <v>2317</v>
      </c>
      <c r="S16" s="73" t="n">
        <f aca="false">SUM(S12:S15)</f>
        <v>3058</v>
      </c>
      <c r="T16" s="73" t="n">
        <f aca="false">SUM(T12:T15)</f>
        <v>2818</v>
      </c>
      <c r="U16" s="73" t="n">
        <f aca="false">SUM(U12:U15)</f>
        <v>3073</v>
      </c>
      <c r="V16" s="73" t="n">
        <f aca="false">SUM(V12:V15)</f>
        <v>3823</v>
      </c>
      <c r="W16" s="73" t="n">
        <f aca="false">SUM(W12:W15)</f>
        <v>3583</v>
      </c>
      <c r="X16" s="73" t="n">
        <f aca="false">SUM(X12:X15)</f>
        <v>3639</v>
      </c>
      <c r="Y16" s="73" t="n">
        <f aca="false">SUM(Y12:Y15)</f>
        <v>4228</v>
      </c>
    </row>
    <row r="17" customFormat="false" ht="19.5" hidden="false" customHeight="true" outlineLevel="0" collapsed="false">
      <c r="A17" s="8" t="s">
        <v>170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customFormat="false" ht="15" hidden="false" customHeight="false" outlineLevel="0" collapsed="false">
      <c r="A18" s="9" t="s">
        <v>171</v>
      </c>
      <c r="B18" s="70" t="n">
        <f aca="false">Assumptions!B28*1</f>
        <v>141</v>
      </c>
      <c r="C18" s="74" t="n">
        <f aca="false">Assumptions!B28*1.01</f>
        <v>142.41</v>
      </c>
      <c r="D18" s="70" t="n">
        <f aca="false">Assumptions!B28*1.02</f>
        <v>143.82</v>
      </c>
      <c r="E18" s="74" t="n">
        <f aca="false">Assumptions!B28*1.03</f>
        <v>145.23</v>
      </c>
      <c r="F18" s="70" t="n">
        <f aca="false">Assumptions!B28*1.04</f>
        <v>146.64</v>
      </c>
      <c r="G18" s="74" t="n">
        <f aca="false">Assumptions!B28*1.05</f>
        <v>148.05</v>
      </c>
      <c r="H18" s="70" t="n">
        <f aca="false">Assumptions!B28*1.06</f>
        <v>149.46</v>
      </c>
      <c r="I18" s="74" t="n">
        <f aca="false">Assumptions!B28*1.07</f>
        <v>150.87</v>
      </c>
      <c r="J18" s="70" t="n">
        <f aca="false">Assumptions!B28*1.08</f>
        <v>152.28</v>
      </c>
      <c r="K18" s="74" t="n">
        <f aca="false">Assumptions!B28*1.09</f>
        <v>153.69</v>
      </c>
      <c r="L18" s="70" t="n">
        <f aca="false">Assumptions!B28*1.1</f>
        <v>155.1</v>
      </c>
      <c r="M18" s="74" t="n">
        <f aca="false">Assumptions!B28*1.11</f>
        <v>156.51</v>
      </c>
      <c r="N18" s="70" t="n">
        <f aca="false">Assumptions!B28*1.12</f>
        <v>157.92</v>
      </c>
      <c r="O18" s="74" t="n">
        <f aca="false">Assumptions!B28*1.13</f>
        <v>159.33</v>
      </c>
      <c r="P18" s="70" t="n">
        <f aca="false">Assumptions!B28*1.14</f>
        <v>160.74</v>
      </c>
      <c r="Q18" s="74" t="n">
        <f aca="false">Assumptions!B28*1.15</f>
        <v>162.15</v>
      </c>
      <c r="R18" s="70" t="n">
        <f aca="false">Assumptions!B28*1.16</f>
        <v>163.56</v>
      </c>
      <c r="S18" s="74" t="n">
        <f aca="false">Assumptions!B28*1.17</f>
        <v>164.97</v>
      </c>
      <c r="T18" s="70" t="n">
        <f aca="false">Assumptions!B28*1.18</f>
        <v>166.38</v>
      </c>
      <c r="U18" s="74" t="n">
        <f aca="false">Assumptions!B28*1.19</f>
        <v>167.79</v>
      </c>
      <c r="V18" s="70" t="n">
        <f aca="false">Assumptions!B28*1.2</f>
        <v>169.2</v>
      </c>
      <c r="W18" s="74" t="n">
        <f aca="false">Assumptions!B28*1.21</f>
        <v>170.61</v>
      </c>
      <c r="X18" s="70" t="n">
        <f aca="false">Assumptions!B28*1.22</f>
        <v>172.02</v>
      </c>
      <c r="Y18" s="74" t="n">
        <f aca="false">Assumptions!B28*1.23</f>
        <v>173.43</v>
      </c>
    </row>
    <row r="19" customFormat="false" ht="15" hidden="false" customHeight="false" outlineLevel="0" collapsed="false">
      <c r="A19" s="75" t="s">
        <v>172</v>
      </c>
      <c r="B19" s="76" t="n">
        <f aca="false">ROUND(B6*0.003,1)</f>
        <v>0.7</v>
      </c>
      <c r="C19" s="77" t="n">
        <f aca="false">ROUND(C6*0.003,1)</f>
        <v>0.8</v>
      </c>
      <c r="D19" s="76" t="n">
        <f aca="false">ROUND(D6*0.003,1)</f>
        <v>0.9</v>
      </c>
      <c r="E19" s="77" t="n">
        <f aca="false">ROUND(E6*0.003,1)</f>
        <v>1.1</v>
      </c>
      <c r="F19" s="76" t="n">
        <f aca="false">ROUND(F6*0.003,1)</f>
        <v>1.2</v>
      </c>
      <c r="G19" s="77" t="n">
        <f aca="false">ROUND(G6*0.003,1)</f>
        <v>1.4</v>
      </c>
      <c r="H19" s="76" t="n">
        <f aca="false">ROUND(H6*0.003,1)</f>
        <v>1.5</v>
      </c>
      <c r="I19" s="77" t="n">
        <f aca="false">ROUND(I6*0.003,1)</f>
        <v>1.7</v>
      </c>
      <c r="J19" s="76" t="n">
        <f aca="false">ROUND(J6*0.003,1)</f>
        <v>1.9</v>
      </c>
      <c r="K19" s="77" t="n">
        <f aca="false">ROUND(K6*0.003,1)</f>
        <v>2</v>
      </c>
      <c r="L19" s="76" t="n">
        <f aca="false">ROUND(L6*0.003,1)</f>
        <v>2.2</v>
      </c>
      <c r="M19" s="77" t="n">
        <f aca="false">ROUND(M6*0.003,1)</f>
        <v>2.5</v>
      </c>
      <c r="N19" s="76" t="n">
        <f aca="false">ROUND(N6*0.003,1)</f>
        <v>2.6</v>
      </c>
      <c r="O19" s="77" t="n">
        <f aca="false">ROUND(O6*0.003,1)</f>
        <v>2.8</v>
      </c>
      <c r="P19" s="76" t="n">
        <f aca="false">ROUND(P6*0.003,1)</f>
        <v>3</v>
      </c>
      <c r="Q19" s="77" t="n">
        <f aca="false">ROUND(Q6*0.003,1)</f>
        <v>3.2</v>
      </c>
      <c r="R19" s="76" t="n">
        <f aca="false">ROUND(R6*0.003,1)</f>
        <v>3.5</v>
      </c>
      <c r="S19" s="77" t="n">
        <f aca="false">ROUND(S6*0.003,1)</f>
        <v>3.7</v>
      </c>
      <c r="T19" s="76" t="n">
        <f aca="false">ROUND(T6*0.003,1)</f>
        <v>4</v>
      </c>
      <c r="U19" s="77" t="n">
        <f aca="false">ROUND(U6*0.003,1)</f>
        <v>4.3</v>
      </c>
      <c r="V19" s="76" t="n">
        <f aca="false">ROUND(V6*0.003,1)</f>
        <v>4.6</v>
      </c>
      <c r="W19" s="77" t="n">
        <f aca="false">ROUND(W6*0.003,1)</f>
        <v>4.9</v>
      </c>
      <c r="X19" s="76" t="n">
        <f aca="false">ROUND(X6*0.003,1)</f>
        <v>5.2</v>
      </c>
      <c r="Y19" s="77" t="n">
        <f aca="false">ROUND(Y6*0.003,1)</f>
        <v>5.6</v>
      </c>
    </row>
    <row r="20" customFormat="false" ht="15" hidden="false" customHeight="false" outlineLevel="0" collapsed="false">
      <c r="A20" s="78" t="s">
        <v>173</v>
      </c>
      <c r="B20" s="79" t="n">
        <f aca="false">SUM(B18:B19)</f>
        <v>141.7</v>
      </c>
      <c r="C20" s="79" t="n">
        <f aca="false">SUM(C18:C19)</f>
        <v>143.21</v>
      </c>
      <c r="D20" s="79" t="n">
        <f aca="false">SUM(D18:D19)</f>
        <v>144.72</v>
      </c>
      <c r="E20" s="79" t="n">
        <f aca="false">SUM(E18:E19)</f>
        <v>146.33</v>
      </c>
      <c r="F20" s="79" t="n">
        <f aca="false">SUM(F18:F19)</f>
        <v>147.84</v>
      </c>
      <c r="G20" s="79" t="n">
        <f aca="false">SUM(G18:G19)</f>
        <v>149.45</v>
      </c>
      <c r="H20" s="79" t="n">
        <f aca="false">SUM(H18:H19)</f>
        <v>150.96</v>
      </c>
      <c r="I20" s="79" t="n">
        <f aca="false">SUM(I18:I19)</f>
        <v>152.57</v>
      </c>
      <c r="J20" s="79" t="n">
        <f aca="false">SUM(J18:J19)</f>
        <v>154.18</v>
      </c>
      <c r="K20" s="79" t="n">
        <f aca="false">SUM(K18:K19)</f>
        <v>155.69</v>
      </c>
      <c r="L20" s="79" t="n">
        <f aca="false">SUM(L18:L19)</f>
        <v>157.3</v>
      </c>
      <c r="M20" s="79" t="n">
        <f aca="false">SUM(M18:M19)</f>
        <v>159.01</v>
      </c>
      <c r="N20" s="79" t="n">
        <f aca="false">SUM(N18:N19)</f>
        <v>160.52</v>
      </c>
      <c r="O20" s="79" t="n">
        <f aca="false">SUM(O18:O19)</f>
        <v>162.13</v>
      </c>
      <c r="P20" s="79" t="n">
        <f aca="false">SUM(P18:P19)</f>
        <v>163.74</v>
      </c>
      <c r="Q20" s="79" t="n">
        <f aca="false">SUM(Q18:Q19)</f>
        <v>165.35</v>
      </c>
      <c r="R20" s="79" t="n">
        <f aca="false">SUM(R18:R19)</f>
        <v>167.06</v>
      </c>
      <c r="S20" s="79" t="n">
        <f aca="false">SUM(S18:S19)</f>
        <v>168.67</v>
      </c>
      <c r="T20" s="79" t="n">
        <f aca="false">SUM(T18:T19)</f>
        <v>170.38</v>
      </c>
      <c r="U20" s="79" t="n">
        <f aca="false">SUM(U18:U19)</f>
        <v>172.09</v>
      </c>
      <c r="V20" s="79" t="n">
        <f aca="false">SUM(V18:V19)</f>
        <v>173.8</v>
      </c>
      <c r="W20" s="79" t="n">
        <f aca="false">SUM(W18:W19)</f>
        <v>175.51</v>
      </c>
      <c r="X20" s="79" t="n">
        <f aca="false">SUM(X18:X19)</f>
        <v>177.22</v>
      </c>
      <c r="Y20" s="79" t="n">
        <f aca="false">SUM(Y18:Y19)</f>
        <v>179.03</v>
      </c>
    </row>
    <row r="21" customFormat="false" ht="19.5" hidden="false" customHeight="true" outlineLevel="0" collapsed="false">
      <c r="A21" s="17" t="s">
        <v>174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customFormat="false" ht="21.75" hidden="false" customHeight="true" outlineLevel="0" collapsed="false">
      <c r="A22" s="72" t="s">
        <v>175</v>
      </c>
      <c r="B22" s="73" t="n">
        <f aca="false">B16-B20</f>
        <v>-141.7</v>
      </c>
      <c r="C22" s="73" t="n">
        <f aca="false">C16-C20</f>
        <v>-143.21</v>
      </c>
      <c r="D22" s="73" t="n">
        <f aca="false">D16-D20</f>
        <v>-144.72</v>
      </c>
      <c r="E22" s="73" t="n">
        <f aca="false">E16-E20</f>
        <v>-47.33</v>
      </c>
      <c r="F22" s="73" t="n">
        <f aca="false">F16-F20</f>
        <v>-39.84</v>
      </c>
      <c r="G22" s="73" t="n">
        <f aca="false">G16-G20</f>
        <v>-23.45</v>
      </c>
      <c r="H22" s="73" t="n">
        <f aca="false">H16-H20</f>
        <v>303.04</v>
      </c>
      <c r="I22" s="73" t="n">
        <f aca="false">I16-I20</f>
        <v>348.43</v>
      </c>
      <c r="J22" s="73" t="n">
        <f aca="false">J16-J20</f>
        <v>393.82</v>
      </c>
      <c r="K22" s="73" t="n">
        <f aca="false">K16-K20</f>
        <v>430.31</v>
      </c>
      <c r="L22" s="73" t="n">
        <f aca="false">L16-L20</f>
        <v>475.7</v>
      </c>
      <c r="M22" s="73" t="n">
        <f aca="false">M16-M20</f>
        <v>529.99</v>
      </c>
      <c r="N22" s="73" t="n">
        <f aca="false">N16-N20</f>
        <v>1163.48</v>
      </c>
      <c r="O22" s="73" t="n">
        <f aca="false">O16-O20</f>
        <v>1407.87</v>
      </c>
      <c r="P22" s="73" t="n">
        <f aca="false">P16-P20</f>
        <v>2147.26</v>
      </c>
      <c r="Q22" s="73" t="n">
        <f aca="false">Q16-Q20</f>
        <v>1896.65</v>
      </c>
      <c r="R22" s="73" t="n">
        <f aca="false">R16-R20</f>
        <v>2149.94</v>
      </c>
      <c r="S22" s="73" t="n">
        <f aca="false">S16-S20</f>
        <v>2889.33</v>
      </c>
      <c r="T22" s="73" t="n">
        <f aca="false">T16-T20</f>
        <v>2647.62</v>
      </c>
      <c r="U22" s="73" t="n">
        <f aca="false">U16-U20</f>
        <v>2900.91</v>
      </c>
      <c r="V22" s="73" t="n">
        <f aca="false">V16-V20</f>
        <v>3649.2</v>
      </c>
      <c r="W22" s="73" t="n">
        <f aca="false">W16-W20</f>
        <v>3407.49</v>
      </c>
      <c r="X22" s="73" t="n">
        <f aca="false">X16-X20</f>
        <v>3461.78</v>
      </c>
      <c r="Y22" s="73" t="n">
        <f aca="false">Y16-Y20</f>
        <v>4048.97</v>
      </c>
    </row>
    <row r="23" customFormat="false" ht="21.75" hidden="false" customHeight="true" outlineLevel="0" collapsed="false">
      <c r="A23" s="72" t="s">
        <v>176</v>
      </c>
      <c r="B23" s="73" t="n">
        <f aca="false">B22-Assumptions!B17</f>
        <v>-30641.7</v>
      </c>
      <c r="C23" s="73" t="n">
        <f aca="false">B23+C22</f>
        <v>-30784.91</v>
      </c>
      <c r="D23" s="73" t="n">
        <f aca="false">C23+D22</f>
        <v>-30929.63</v>
      </c>
      <c r="E23" s="73" t="n">
        <f aca="false">D23+E22</f>
        <v>-30976.96</v>
      </c>
      <c r="F23" s="73" t="n">
        <f aca="false">E23+F22</f>
        <v>-31016.8</v>
      </c>
      <c r="G23" s="73" t="n">
        <f aca="false">F23+G22</f>
        <v>-31040.25</v>
      </c>
      <c r="H23" s="73" t="n">
        <f aca="false">G23+H22</f>
        <v>-30737.21</v>
      </c>
      <c r="I23" s="73" t="n">
        <f aca="false">H23+I22</f>
        <v>-30388.78</v>
      </c>
      <c r="J23" s="73" t="n">
        <f aca="false">I23+J22</f>
        <v>-29994.96</v>
      </c>
      <c r="K23" s="73" t="n">
        <f aca="false">J23+K22</f>
        <v>-29564.65</v>
      </c>
      <c r="L23" s="73" t="n">
        <f aca="false">K23+L22</f>
        <v>-29088.95</v>
      </c>
      <c r="M23" s="73" t="n">
        <f aca="false">L23+M22</f>
        <v>-28558.96</v>
      </c>
      <c r="N23" s="73" t="n">
        <f aca="false">M23+N22</f>
        <v>-27395.48</v>
      </c>
      <c r="O23" s="73" t="n">
        <f aca="false">N23+O22</f>
        <v>-25987.61</v>
      </c>
      <c r="P23" s="73" t="n">
        <f aca="false">O23+P22</f>
        <v>-23840.35</v>
      </c>
      <c r="Q23" s="73" t="n">
        <f aca="false">P23+Q22</f>
        <v>-21943.7</v>
      </c>
      <c r="R23" s="73" t="n">
        <f aca="false">Q23+R22</f>
        <v>-19793.76</v>
      </c>
      <c r="S23" s="73" t="n">
        <f aca="false">R23+S22</f>
        <v>-16904.43</v>
      </c>
      <c r="T23" s="73" t="n">
        <f aca="false">S23+T22</f>
        <v>-14256.81</v>
      </c>
      <c r="U23" s="73" t="n">
        <f aca="false">T23+U22</f>
        <v>-11355.9</v>
      </c>
      <c r="V23" s="73" t="n">
        <f aca="false">U23+V22</f>
        <v>-7706.7</v>
      </c>
      <c r="W23" s="73" t="n">
        <f aca="false">V23+W22</f>
        <v>-4299.21</v>
      </c>
      <c r="X23" s="73" t="n">
        <f aca="false">W23+X22</f>
        <v>-837.430000000002</v>
      </c>
      <c r="Y23" s="73" t="n">
        <f aca="false">X23+Y22</f>
        <v>3211.54</v>
      </c>
    </row>
    <row r="24" customFormat="false" ht="15" hidden="false" customHeight="false" outlineLevel="0" collapsed="false">
      <c r="A24" s="80" t="s">
        <v>177</v>
      </c>
      <c r="B24" s="81" t="s">
        <v>178</v>
      </c>
      <c r="C24" s="82" t="n">
        <f aca="false">IFERROR(IF(B16=0,0,(C16-B16)/B16),0)</f>
        <v>0</v>
      </c>
      <c r="D24" s="81" t="n">
        <f aca="false">IFERROR(IF(C16=0,0,(D16-C16)/C16),0)</f>
        <v>0</v>
      </c>
      <c r="E24" s="82" t="n">
        <f aca="false">IFERROR(IF(D16=0,0,(E16-D16)/D16),0)</f>
        <v>0</v>
      </c>
      <c r="F24" s="81" t="n">
        <f aca="false">IFERROR(IF(E16=0,0,(F16-E16)/E16),0)</f>
        <v>0.0909090909090909</v>
      </c>
      <c r="G24" s="82" t="n">
        <f aca="false">IFERROR(IF(F16=0,0,(G16-F16)/F16),0)</f>
        <v>0.166666666666667</v>
      </c>
      <c r="H24" s="81" t="n">
        <f aca="false">IFERROR(IF(G16=0,0,(H16-G16)/G16),0)</f>
        <v>2.6031746031746</v>
      </c>
      <c r="I24" s="82" t="n">
        <f aca="false">IFERROR(IF(H16=0,0,(I16-H16)/H16),0)</f>
        <v>0.10352422907489</v>
      </c>
      <c r="J24" s="81" t="n">
        <f aca="false">IFERROR(IF(I16=0,0,(J16-I16)/I16),0)</f>
        <v>0.093812375249501</v>
      </c>
      <c r="K24" s="82" t="n">
        <f aca="false">IFERROR(IF(J16=0,0,(K16-J16)/J16),0)</f>
        <v>0.0693430656934307</v>
      </c>
      <c r="L24" s="81" t="n">
        <f aca="false">IFERROR(IF(K16=0,0,(L16-K16)/K16),0)</f>
        <v>0.0802047781569966</v>
      </c>
      <c r="M24" s="82" t="n">
        <f aca="false">IFERROR(IF(L16=0,0,(M16-L16)/L16),0)</f>
        <v>0.0884676145339653</v>
      </c>
      <c r="N24" s="81" t="n">
        <f aca="false">IFERROR(IF(M16=0,0,(N16-M16)/M16),0)</f>
        <v>0.921625544267054</v>
      </c>
      <c r="O24" s="82" t="n">
        <f aca="false">IFERROR(IF(N16=0,0,(O16-N16)/N16),0)</f>
        <v>0.185800604229607</v>
      </c>
      <c r="P24" s="81" t="n">
        <f aca="false">IFERROR(IF(O16=0,0,(P16-O16)/O16),0)</f>
        <v>0.471974522292994</v>
      </c>
      <c r="Q24" s="82" t="n">
        <f aca="false">IFERROR(IF(P16=0,0,(Q16-P16)/P16),0)</f>
        <v>-0.10774556469061</v>
      </c>
      <c r="R24" s="81" t="n">
        <f aca="false">IFERROR(IF(Q16=0,0,(R16-Q16)/Q16),0)</f>
        <v>0.123666343355965</v>
      </c>
      <c r="S24" s="82" t="n">
        <f aca="false">IFERROR(IF(R16=0,0,(S16-R16)/R16),0)</f>
        <v>0.319810099266293</v>
      </c>
      <c r="T24" s="81" t="n">
        <f aca="false">IFERROR(IF(S16=0,0,(T16-S16)/S16),0)</f>
        <v>-0.078482668410726</v>
      </c>
      <c r="U24" s="82" t="n">
        <f aca="false">IFERROR(IF(T16=0,0,(U16-T16)/T16),0)</f>
        <v>0.0904897090134847</v>
      </c>
      <c r="V24" s="81" t="n">
        <f aca="false">IFERROR(IF(U16=0,0,(V16-U16)/U16),0)</f>
        <v>0.244061178001952</v>
      </c>
      <c r="W24" s="82" t="n">
        <f aca="false">IFERROR(IF(V16=0,0,(W16-V16)/V16),0)</f>
        <v>-0.0627779230970442</v>
      </c>
      <c r="X24" s="81" t="n">
        <f aca="false">IFERROR(IF(W16=0,0,(X16-W16)/W16),0)</f>
        <v>0.0156293608707787</v>
      </c>
      <c r="Y24" s="82" t="n">
        <f aca="false">IFERROR(IF(X16=0,0,(Y16-X16)/X16),0)</f>
        <v>0.161857653201429</v>
      </c>
    </row>
  </sheetData>
  <mergeCells count="5">
    <mergeCell ref="A1:Z1"/>
    <mergeCell ref="A5:Z5"/>
    <mergeCell ref="A11:Z11"/>
    <mergeCell ref="A17:Z17"/>
    <mergeCell ref="A21:Z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10" min="2" style="0" width="12"/>
  </cols>
  <sheetData>
    <row r="1" customFormat="false" ht="36" hidden="false" customHeight="true" outlineLevel="0" collapsed="false">
      <c r="A1" s="37" t="s">
        <v>179</v>
      </c>
      <c r="B1" s="37"/>
      <c r="C1" s="37"/>
      <c r="D1" s="37"/>
      <c r="E1" s="37"/>
      <c r="F1" s="37"/>
      <c r="G1" s="37"/>
      <c r="H1" s="37"/>
      <c r="I1" s="37"/>
      <c r="J1" s="37"/>
    </row>
    <row r="2" customFormat="false" ht="22.35" hidden="false" customHeight="false" outlineLevel="0" collapsed="false">
      <c r="A2" s="63" t="s">
        <v>180</v>
      </c>
    </row>
    <row r="4" customFormat="false" ht="15" hidden="false" customHeight="false" outlineLevel="0" collapsed="false">
      <c r="A4" s="83" t="s">
        <v>132</v>
      </c>
      <c r="B4" s="84" t="s">
        <v>181</v>
      </c>
      <c r="C4" s="84" t="s">
        <v>182</v>
      </c>
      <c r="D4" s="84" t="s">
        <v>183</v>
      </c>
      <c r="E4" s="85" t="s">
        <v>184</v>
      </c>
      <c r="F4" s="85" t="s">
        <v>185</v>
      </c>
      <c r="G4" s="85" t="s">
        <v>186</v>
      </c>
      <c r="H4" s="86" t="s">
        <v>187</v>
      </c>
      <c r="I4" s="86" t="s">
        <v>188</v>
      </c>
      <c r="J4" s="86" t="s">
        <v>189</v>
      </c>
    </row>
    <row r="5" customFormat="false" ht="15" hidden="false" customHeight="false" outlineLevel="0" collapsed="false">
      <c r="A5" s="87" t="s">
        <v>190</v>
      </c>
      <c r="B5" s="67" t="n">
        <f aca="false">ROUND('Monthly Model'!G6*0.55,0)</f>
        <v>256</v>
      </c>
      <c r="C5" s="67" t="n">
        <f aca="false">ROUND('Monthly Model'!M6*0.55,0)</f>
        <v>453</v>
      </c>
      <c r="D5" s="67" t="n">
        <f aca="false">ROUND('Monthly Model'!Y6*0.55,0)</f>
        <v>1022</v>
      </c>
      <c r="E5" s="67" t="n">
        <f aca="false">'Monthly Model'!G6</f>
        <v>465</v>
      </c>
      <c r="F5" s="67" t="n">
        <f aca="false">'Monthly Model'!M6</f>
        <v>824</v>
      </c>
      <c r="G5" s="67" t="n">
        <f aca="false">'Monthly Model'!Y6</f>
        <v>1859</v>
      </c>
      <c r="H5" s="67" t="n">
        <f aca="false">ROUND('Monthly Model'!G6*1.8,0)</f>
        <v>837</v>
      </c>
      <c r="I5" s="67" t="n">
        <f aca="false">ROUND('Monthly Model'!M6*1.8,0)</f>
        <v>1483</v>
      </c>
      <c r="J5" s="67" t="n">
        <f aca="false">ROUND('Monthly Model'!Y6*1.8,0)</f>
        <v>3346</v>
      </c>
    </row>
    <row r="6" customFormat="false" ht="15" hidden="false" customHeight="false" outlineLevel="0" collapsed="false">
      <c r="A6" s="80" t="s">
        <v>191</v>
      </c>
      <c r="B6" s="88" t="n">
        <f aca="false">ROUND('Monthly Model'!G7*0.55,0)</f>
        <v>931</v>
      </c>
      <c r="C6" s="88" t="n">
        <f aca="false">ROUND('Monthly Model'!M7*0.55,0)</f>
        <v>1487</v>
      </c>
      <c r="D6" s="88" t="n">
        <f aca="false">ROUND('Monthly Model'!Y7*0.55,0)</f>
        <v>2617</v>
      </c>
      <c r="E6" s="68" t="n">
        <f aca="false">'Monthly Model'!G7</f>
        <v>1693</v>
      </c>
      <c r="F6" s="68" t="n">
        <f aca="false">'Monthly Model'!M7</f>
        <v>2703</v>
      </c>
      <c r="G6" s="68" t="n">
        <f aca="false">'Monthly Model'!Y7</f>
        <v>4759</v>
      </c>
      <c r="H6" s="89" t="n">
        <f aca="false">ROUND('Monthly Model'!G7*1.8,0)</f>
        <v>3047</v>
      </c>
      <c r="I6" s="89" t="n">
        <f aca="false">ROUND('Monthly Model'!M7*1.8,0)</f>
        <v>4865</v>
      </c>
      <c r="J6" s="89" t="n">
        <f aca="false">ROUND('Monthly Model'!Y7*1.8,0)</f>
        <v>8566</v>
      </c>
    </row>
    <row r="7" customFormat="false" ht="15" hidden="false" customHeight="false" outlineLevel="0" collapsed="false">
      <c r="A7" s="87" t="s">
        <v>160</v>
      </c>
      <c r="B7" s="67" t="n">
        <f aca="false">ROUND('Monthly Model'!G8*0.33,0)</f>
        <v>5</v>
      </c>
      <c r="C7" s="67" t="n">
        <f aca="false">ROUND('Monthly Model'!M8*0.33,0)</f>
        <v>8</v>
      </c>
      <c r="D7" s="67" t="n">
        <f aca="false">ROUND('Monthly Model'!Y8*0.33,0)</f>
        <v>18</v>
      </c>
      <c r="E7" s="67" t="n">
        <f aca="false">'Monthly Model'!G8</f>
        <v>14</v>
      </c>
      <c r="F7" s="67" t="n">
        <f aca="false">'Monthly Model'!M8</f>
        <v>25</v>
      </c>
      <c r="G7" s="67" t="n">
        <f aca="false">'Monthly Model'!Y8</f>
        <v>56</v>
      </c>
      <c r="H7" s="67" t="n">
        <f aca="false">ROUND('Monthly Model'!G8*2.88,0)</f>
        <v>40</v>
      </c>
      <c r="I7" s="67" t="n">
        <f aca="false">ROUND('Monthly Model'!M8*2.88,0)</f>
        <v>72</v>
      </c>
      <c r="J7" s="67" t="n">
        <f aca="false">ROUND('Monthly Model'!Y8*2.88,0)</f>
        <v>161</v>
      </c>
    </row>
    <row r="8" customFormat="false" ht="15" hidden="false" customHeight="false" outlineLevel="0" collapsed="false">
      <c r="A8" s="80" t="s">
        <v>192</v>
      </c>
      <c r="B8" s="88" t="n">
        <f aca="false">ROUND('Monthly Model'!G9*0.28,0)</f>
        <v>0</v>
      </c>
      <c r="C8" s="88" t="n">
        <f aca="false">ROUND('Monthly Model'!M9*0.28,0)</f>
        <v>4</v>
      </c>
      <c r="D8" s="88" t="n">
        <f aca="false">ROUND('Monthly Model'!Y9*0.28,0)</f>
        <v>8</v>
      </c>
      <c r="E8" s="68" t="n">
        <f aca="false">'Monthly Model'!G9</f>
        <v>0</v>
      </c>
      <c r="F8" s="68" t="n">
        <f aca="false">'Monthly Model'!M9</f>
        <v>16</v>
      </c>
      <c r="G8" s="68" t="n">
        <f aca="false">'Monthly Model'!Y9</f>
        <v>29</v>
      </c>
      <c r="H8" s="89" t="n">
        <f aca="false">ROUND('Monthly Model'!G9*3.06,0)</f>
        <v>0</v>
      </c>
      <c r="I8" s="89" t="n">
        <f aca="false">ROUND('Monthly Model'!M9*3.06,0)</f>
        <v>49</v>
      </c>
      <c r="J8" s="89" t="n">
        <f aca="false">ROUND('Monthly Model'!Y9*3.06,0)</f>
        <v>89</v>
      </c>
    </row>
    <row r="9" customFormat="false" ht="15" hidden="false" customHeight="false" outlineLevel="0" collapsed="false">
      <c r="A9" s="87" t="s">
        <v>193</v>
      </c>
      <c r="B9" s="70" t="n">
        <f aca="false">ROUND('Monthly Model'!G16*0.55,0)</f>
        <v>69</v>
      </c>
      <c r="C9" s="70" t="n">
        <f aca="false">ROUND('Monthly Model'!M16*0.55,0)</f>
        <v>379</v>
      </c>
      <c r="D9" s="70" t="n">
        <f aca="false">ROUND('Monthly Model'!Y16*0.55,0)</f>
        <v>2325</v>
      </c>
      <c r="E9" s="70" t="n">
        <f aca="false">'Monthly Model'!G16</f>
        <v>126</v>
      </c>
      <c r="F9" s="70" t="n">
        <f aca="false">'Monthly Model'!M16</f>
        <v>689</v>
      </c>
      <c r="G9" s="70" t="n">
        <f aca="false">'Monthly Model'!Y16</f>
        <v>4228</v>
      </c>
      <c r="H9" s="70" t="n">
        <f aca="false">ROUND('Monthly Model'!G16*1.8,0)</f>
        <v>227</v>
      </c>
      <c r="I9" s="70" t="n">
        <f aca="false">ROUND('Monthly Model'!M16*1.8,0)</f>
        <v>1240</v>
      </c>
      <c r="J9" s="70" t="n">
        <f aca="false">ROUND('Monthly Model'!Y16*1.8,0)</f>
        <v>7610</v>
      </c>
    </row>
    <row r="10" customFormat="false" ht="15" hidden="false" customHeight="false" outlineLevel="0" collapsed="false">
      <c r="A10" s="87" t="s">
        <v>194</v>
      </c>
      <c r="B10" s="74" t="n">
        <f aca="false">ROUND('Monthly Model'!G20*0.95,0)</f>
        <v>142</v>
      </c>
      <c r="C10" s="74" t="n">
        <f aca="false">ROUND('Monthly Model'!M20*0.95,0)</f>
        <v>151</v>
      </c>
      <c r="D10" s="74" t="n">
        <f aca="false">ROUND('Monthly Model'!Y20*0.95,0)</f>
        <v>170</v>
      </c>
      <c r="E10" s="90" t="n">
        <f aca="false">'Monthly Model'!G20</f>
        <v>149.45</v>
      </c>
      <c r="F10" s="90" t="n">
        <f aca="false">'Monthly Model'!M20</f>
        <v>159.01</v>
      </c>
      <c r="G10" s="90" t="n">
        <f aca="false">'Monthly Model'!Y20</f>
        <v>179.03</v>
      </c>
      <c r="H10" s="91" t="n">
        <f aca="false">ROUND('Monthly Model'!G20*1.05,0)</f>
        <v>157</v>
      </c>
      <c r="I10" s="91" t="n">
        <f aca="false">ROUND('Monthly Model'!M20*1.05,0)</f>
        <v>167</v>
      </c>
      <c r="J10" s="91" t="n">
        <f aca="false">ROUND('Monthly Model'!Y20*1.05,0)</f>
        <v>188</v>
      </c>
    </row>
    <row r="11" customFormat="false" ht="15" hidden="false" customHeight="false" outlineLevel="0" collapsed="false">
      <c r="A11" s="87" t="s">
        <v>195</v>
      </c>
      <c r="B11" s="70" t="n">
        <f aca="false">ROUND('Monthly Model'!G16*0.55-'Monthly Model'!G20*0.95,0)</f>
        <v>-73</v>
      </c>
      <c r="C11" s="70" t="n">
        <f aca="false">ROUND('Monthly Model'!M16*0.55-'Monthly Model'!M20*0.95,0)</f>
        <v>228</v>
      </c>
      <c r="D11" s="70" t="n">
        <f aca="false">ROUND('Monthly Model'!Y16*0.55-'Monthly Model'!Y20*0.95,0)</f>
        <v>2155</v>
      </c>
      <c r="E11" s="70" t="n">
        <f aca="false">'Monthly Model'!G22</f>
        <v>-23.45</v>
      </c>
      <c r="F11" s="70" t="n">
        <f aca="false">'Monthly Model'!M22</f>
        <v>529.99</v>
      </c>
      <c r="G11" s="70" t="n">
        <f aca="false">'Monthly Model'!Y22</f>
        <v>4048.97</v>
      </c>
      <c r="H11" s="70" t="n">
        <f aca="false">ROUND('Monthly Model'!G16*1.8-'Monthly Model'!G20*1.05,0)</f>
        <v>70</v>
      </c>
      <c r="I11" s="70" t="n">
        <f aca="false">ROUND('Monthly Model'!M16*1.8-'Monthly Model'!M20*1.05,0)</f>
        <v>1073</v>
      </c>
      <c r="J11" s="70" t="n">
        <f aca="false">ROUND('Monthly Model'!Y16*1.8-'Monthly Model'!Y20*1.05,0)</f>
        <v>7422</v>
      </c>
    </row>
    <row r="14" customFormat="false" ht="19.5" hidden="false" customHeight="true" outlineLevel="0" collapsed="false">
      <c r="A14" s="92" t="s">
        <v>196</v>
      </c>
      <c r="B14" s="92"/>
      <c r="C14" s="92"/>
      <c r="D14" s="92"/>
      <c r="E14" s="92"/>
      <c r="F14" s="92"/>
      <c r="G14" s="92"/>
      <c r="H14" s="92"/>
      <c r="I14" s="92"/>
      <c r="J14" s="92"/>
    </row>
    <row r="15" customFormat="false" ht="15" hidden="false" customHeight="false" outlineLevel="0" collapsed="false">
      <c r="A15" s="87" t="s">
        <v>197</v>
      </c>
      <c r="B15" s="93" t="s">
        <v>198</v>
      </c>
      <c r="C15" s="94"/>
      <c r="D15" s="94"/>
      <c r="E15" s="95" t="s">
        <v>199</v>
      </c>
      <c r="F15" s="94"/>
      <c r="G15" s="94"/>
      <c r="H15" s="96" t="s">
        <v>200</v>
      </c>
      <c r="I15" s="97"/>
      <c r="J15" s="97"/>
    </row>
    <row r="16" customFormat="false" ht="15" hidden="false" customHeight="false" outlineLevel="0" collapsed="false">
      <c r="A16" s="87" t="s">
        <v>201</v>
      </c>
      <c r="B16" s="93" t="s">
        <v>202</v>
      </c>
      <c r="C16" s="94"/>
      <c r="D16" s="94"/>
      <c r="E16" s="95" t="s">
        <v>203</v>
      </c>
      <c r="F16" s="94"/>
      <c r="G16" s="94"/>
      <c r="H16" s="96" t="s">
        <v>204</v>
      </c>
      <c r="I16" s="97"/>
      <c r="J16" s="97"/>
    </row>
    <row r="17" customFormat="false" ht="15" hidden="false" customHeight="false" outlineLevel="0" collapsed="false">
      <c r="A17" s="80" t="s">
        <v>205</v>
      </c>
      <c r="B17" s="93" t="s">
        <v>206</v>
      </c>
      <c r="C17" s="94"/>
      <c r="D17" s="94"/>
      <c r="E17" s="95" t="s">
        <v>207</v>
      </c>
      <c r="F17" s="94"/>
      <c r="G17" s="94"/>
      <c r="H17" s="96" t="s">
        <v>208</v>
      </c>
      <c r="I17" s="97"/>
      <c r="J17" s="97"/>
    </row>
    <row r="18" customFormat="false" ht="23.85" hidden="false" customHeight="false" outlineLevel="0" collapsed="false">
      <c r="A18" s="80" t="s">
        <v>209</v>
      </c>
      <c r="B18" s="93" t="s">
        <v>210</v>
      </c>
      <c r="C18" s="94"/>
      <c r="D18" s="94"/>
      <c r="E18" s="95" t="s">
        <v>211</v>
      </c>
      <c r="F18" s="94"/>
      <c r="G18" s="94"/>
      <c r="H18" s="96" t="s">
        <v>212</v>
      </c>
      <c r="I18" s="97"/>
      <c r="J18" s="97"/>
    </row>
  </sheetData>
  <mergeCells count="14">
    <mergeCell ref="A1:J1"/>
    <mergeCell ref="A14:J14"/>
    <mergeCell ref="C15:D15"/>
    <mergeCell ref="F15:G15"/>
    <mergeCell ref="I15:J15"/>
    <mergeCell ref="C16:D16"/>
    <mergeCell ref="F16:G16"/>
    <mergeCell ref="I16:J16"/>
    <mergeCell ref="C17:D17"/>
    <mergeCell ref="F17:G17"/>
    <mergeCell ref="I17:J17"/>
    <mergeCell ref="C18:D18"/>
    <mergeCell ref="F18:G18"/>
    <mergeCell ref="I18:J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</cols>
  <sheetData>
    <row r="1" customFormat="false" ht="39.75" hidden="false" customHeight="true" outlineLevel="0" collapsed="false">
      <c r="A1" s="98" t="s">
        <v>213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</row>
  </sheetData>
  <mergeCells count="1">
    <mergeCell ref="A1:T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2026-02-25T05:03:30Z</dcterms:created>
  <dc:creator>openpyxl</dc:creator>
  <dc:description/>
  <dc:language>en-US</dc:language>
  <cp:lastModifiedBy/>
  <dcterms:modified xsi:type="dcterms:W3CDTF">2026-02-25T05:03:35Z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